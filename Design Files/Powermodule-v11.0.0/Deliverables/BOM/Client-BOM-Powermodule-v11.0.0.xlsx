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gerholdvoorde-dronebms\Design Files\Powermodule-v11.0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79" i="1" l="1"/>
  <c r="B78" i="1" l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<sst xmlns="http://schemas.openxmlformats.org/spreadsheetml/2006/main" count="556" uniqueCount="357">
  <si>
    <t>#</t>
  </si>
  <si>
    <t>Item Type</t>
  </si>
  <si>
    <t>Capacitor</t>
  </si>
  <si>
    <t>Diode</t>
  </si>
  <si>
    <t>(TVS/ESD)</t>
  </si>
  <si>
    <t>Ferrite Beads</t>
  </si>
  <si>
    <t>Connectors</t>
  </si>
  <si>
    <t>Connector</t>
  </si>
  <si>
    <t>Spacer</t>
  </si>
  <si>
    <t>USB Connectors</t>
  </si>
  <si>
    <t>Battery Connector</t>
  </si>
  <si>
    <t>Light Pipe</t>
  </si>
  <si>
    <t>Headers</t>
  </si>
  <si>
    <t>Inductor</t>
  </si>
  <si>
    <t>LED</t>
  </si>
  <si>
    <t>TEST POINT</t>
  </si>
  <si>
    <t>SOT-23</t>
  </si>
  <si>
    <t>Transistor</t>
  </si>
  <si>
    <t>MOSFET</t>
  </si>
  <si>
    <t>MOSFETs</t>
  </si>
  <si>
    <t>Mosfet</t>
  </si>
  <si>
    <t>Resistor</t>
  </si>
  <si>
    <t>Resistors</t>
  </si>
  <si>
    <t>SWITCH</t>
  </si>
  <si>
    <t>IC</t>
  </si>
  <si>
    <t>RGB LED</t>
  </si>
  <si>
    <t>Module</t>
  </si>
  <si>
    <t>Crystal</t>
  </si>
  <si>
    <t>Designator</t>
  </si>
  <si>
    <t>C1, C57, C60, C65</t>
  </si>
  <si>
    <t>C2, C3, C4, C13, C34, C56, C59, C61</t>
  </si>
  <si>
    <t>C5, C10, C12, C14, C18, C19, C20, C21, C22, C23, C24, C25, C26, C33, C39, C40, C41, C42, C58, C62</t>
  </si>
  <si>
    <t>C6, C11</t>
  </si>
  <si>
    <t>C7, C8, C9, C17, C37, C38</t>
  </si>
  <si>
    <t>C15, C16, C63, C64, C67</t>
  </si>
  <si>
    <t>C27, C28</t>
  </si>
  <si>
    <t>C29, C30, C31, C32</t>
  </si>
  <si>
    <t>C35</t>
  </si>
  <si>
    <t>C36</t>
  </si>
  <si>
    <t>C43, C44</t>
  </si>
  <si>
    <t>C45, C46, C47, C48, C49, C50, C51, C52, C53, C54, C55</t>
  </si>
  <si>
    <t>C66</t>
  </si>
  <si>
    <t>D2, D3, D4, D5, D6, D7, D8, D10</t>
  </si>
  <si>
    <t>D12, D13</t>
  </si>
  <si>
    <t>D15</t>
  </si>
  <si>
    <t>FB1</t>
  </si>
  <si>
    <t>J2</t>
  </si>
  <si>
    <t>J3</t>
  </si>
  <si>
    <t>J4, J5, J6, J7</t>
  </si>
  <si>
    <t>J8</t>
  </si>
  <si>
    <t>J9</t>
  </si>
  <si>
    <t>J10</t>
  </si>
  <si>
    <t>L1</t>
  </si>
  <si>
    <t>L2</t>
  </si>
  <si>
    <t>LED1, LED2, LED3</t>
  </si>
  <si>
    <t>LED5</t>
  </si>
  <si>
    <t>P2, P3, P7, P9, P10, P11, P12, P15, P16, P17, P18, P19, P20, P21, P22, P24, P25, P26, P27, P28, P29, P30, P31, P33, P34, P35, P36, P37, P38, P39, P43, P44, P45</t>
  </si>
  <si>
    <t>Q2</t>
  </si>
  <si>
    <t>Q3, Q4</t>
  </si>
  <si>
    <t>Q5</t>
  </si>
  <si>
    <t>Q7</t>
  </si>
  <si>
    <t>Q9</t>
  </si>
  <si>
    <t>R1</t>
  </si>
  <si>
    <t>R2, R8, R11, R12, R13, R29, R30, R34, R59, R71, R72, R73</t>
  </si>
  <si>
    <t>R3</t>
  </si>
  <si>
    <t>R4, R16, R17</t>
  </si>
  <si>
    <t>R5, R6, R21, R25, R26, R35, R37, R53, R54, R61, R65, R66, R69, R70</t>
  </si>
  <si>
    <t>R7</t>
  </si>
  <si>
    <t>R9, R19, R22, R31, R32, R33</t>
  </si>
  <si>
    <t>R10, R43, R60</t>
  </si>
  <si>
    <t>R14, R15, R57</t>
  </si>
  <si>
    <t>R18, R20</t>
  </si>
  <si>
    <t>R23, R24</t>
  </si>
  <si>
    <t>R27, R28</t>
  </si>
  <si>
    <t>R36</t>
  </si>
  <si>
    <t>R44</t>
  </si>
  <si>
    <t>R45</t>
  </si>
  <si>
    <t>R46, R49, R50, R68</t>
  </si>
  <si>
    <t>R51</t>
  </si>
  <si>
    <t>R52</t>
  </si>
  <si>
    <t>R55</t>
  </si>
  <si>
    <t>R56, R58, R74</t>
  </si>
  <si>
    <t>R62</t>
  </si>
  <si>
    <t>R63</t>
  </si>
  <si>
    <t>R64</t>
  </si>
  <si>
    <t>R67</t>
  </si>
  <si>
    <t>SW1</t>
  </si>
  <si>
    <t>SW2, SW3</t>
  </si>
  <si>
    <t>U1</t>
  </si>
  <si>
    <t>U2</t>
  </si>
  <si>
    <t>U3</t>
  </si>
  <si>
    <t>U4</t>
  </si>
  <si>
    <t>U5, U7, U12, U13</t>
  </si>
  <si>
    <t>U6</t>
  </si>
  <si>
    <t>U8</t>
  </si>
  <si>
    <t>U9</t>
  </si>
  <si>
    <t>U10</t>
  </si>
  <si>
    <t>U11</t>
  </si>
  <si>
    <t>U14</t>
  </si>
  <si>
    <t>U15</t>
  </si>
  <si>
    <t>U16</t>
  </si>
  <si>
    <t>X1</t>
  </si>
  <si>
    <t>X2</t>
  </si>
  <si>
    <t>Description</t>
  </si>
  <si>
    <t>10V 47uF X5R ±20% 0805 Multilayer Ceramic Capacitors MLCC - SMD/SMT ROHS</t>
  </si>
  <si>
    <t>CAP CER 10UF 25V X5R 0603</t>
  </si>
  <si>
    <t>CAP CER 0.1UF 50V X7R 0402</t>
  </si>
  <si>
    <t>CAP CER 1UF 25V X5R 0402</t>
  </si>
  <si>
    <t>CAP CER 0.47UF 25V X5R 0402</t>
  </si>
  <si>
    <t>CAP CER 22UF 10V X5R 0402, Surface Mount Ceramic Multilayer Capacitor 100pF 2% C0G 50V 0201 Paper T/R</t>
  </si>
  <si>
    <t>CAP CER 10PF 50V C0G/NP0 0402</t>
  </si>
  <si>
    <t>CAP CER 2.2UF 25V X5R 0402</t>
  </si>
  <si>
    <t>CAP TANT POLY 100UF 6.3V 1206</t>
  </si>
  <si>
    <t>CAP CER 100UF 10V X5R ±20% 1206 Multilayer Ceramic Capacitors MLCC - SMD/SMT ROHS</t>
  </si>
  <si>
    <t>CAP CER 18PF 50V C0G/NP0 0402</t>
  </si>
  <si>
    <t>CAP CER 10000PF 25V X5R 0402</t>
  </si>
  <si>
    <t>CAP CER 0.047UF 50V X7R 0402</t>
  </si>
  <si>
    <t>75V 200mW Single 1.25V@150mA 4ns 150mA SOD-323 Switching Diode ROHS</t>
  </si>
  <si>
    <t>4A@8/20us 15V 7V 5V Unidirectional DFN1006-2L TVS ROHS</t>
  </si>
  <si>
    <t>SOD-523 ESD and Surge Protection (TVS/ESD) ROHS</t>
  </si>
  <si>
    <t>FERRITE BEAD 220 OHM 0402 1LN</t>
  </si>
  <si>
    <t>CONN HEADER SMD R/A 8POS 1.25MM</t>
  </si>
  <si>
    <t>CONN 0.635MM HDR 30POS SMD</t>
  </si>
  <si>
    <t>CONN HDR 60POS SMD GOLD</t>
  </si>
  <si>
    <t>Spacer Material: Steel Mounting: SMT Series: WA-SMSI Thread D: M2.5</t>
  </si>
  <si>
    <t>CONN RCP USB3.1 TYPEC 24P SMD RA</t>
  </si>
  <si>
    <t>Battery clip Nickel Phosphor Bronze CR927 SMD Button And Strip Battery Connector ROHS</t>
  </si>
  <si>
    <t>LED INDICATION, ROUND, CLEAR, DO</t>
  </si>
  <si>
    <t>CONN HEADER SMD R/A 6POS 1.25MM</t>
  </si>
  <si>
    <t>4A 2.2uH ±20% 32mΩ SMD,5.4x5.2x2mm Power Inductors ROHS</t>
  </si>
  <si>
    <t>FIXED IND 3.3UH 2.63A 150MOHM SM</t>
  </si>
  <si>
    <t>Emerald 0603 Light Emitting Diodes (LED) ROHS</t>
  </si>
  <si>
    <t>RED LED 0603 Light Emitting Diodes</t>
  </si>
  <si>
    <t>Test Point ON</t>
  </si>
  <si>
    <t>null 3A 400mW 112mΩ@4.5V,2.8A 1V@250uA P Channel SOT-23 MOSFETs ROHS</t>
  </si>
  <si>
    <t>45V 300mW 100@100mA,1V 500mA NPN SOT-23 Bipolar Transistors - BJT ROHS</t>
  </si>
  <si>
    <t>MOSFET N-CH 60V 320MA SOT23-3</t>
  </si>
  <si>
    <t>MOSFET P-CH 20V 6.9A 6TSOP</t>
  </si>
  <si>
    <t>N-CHANNEL 20-V (D-S) MOSFET</t>
  </si>
  <si>
    <t>RES 560 OHM 1% 1/16W 0402</t>
  </si>
  <si>
    <t>RES 100K OHM 1% 1/16W 0402</t>
  </si>
  <si>
    <t>RES 33.2K OHM 1% 1/10W 0603</t>
  </si>
  <si>
    <t>RES 200 OHM 1% 1/16W 0402</t>
  </si>
  <si>
    <t>RES 10K OHM 1% 1/16W 0402</t>
  </si>
  <si>
    <t>RES SMD 390 OHM 0.1% 1/16W 0402</t>
  </si>
  <si>
    <t>RES SMD 1K OHM 1% 1/5W 0402</t>
  </si>
  <si>
    <t>RES 4.7K OHM 1% 1/16W 0402</t>
  </si>
  <si>
    <t>SMD Chip Resistor, 27 Ohm, ± 1%, 63 mW, 0402 [1005 Metric], Thick Film, General Purpose</t>
  </si>
  <si>
    <t>RES 56K OHM 1% 1/16W 0402</t>
  </si>
  <si>
    <t>RES 20K OHM 1% 1/10W 0603</t>
  </si>
  <si>
    <t>RES 9.1K OHM 1% 1/16W 0402</t>
  </si>
  <si>
    <t>RES 200K OHM 1% 1/16W 0402</t>
  </si>
  <si>
    <t>RES 150K OHM 0.1% 1/16W 0402</t>
  </si>
  <si>
    <t>RES SMD 90.9KOHM 0.5% 1/16W 0402</t>
  </si>
  <si>
    <t>RES SMD 1M OHM 1% 1/10W 0603</t>
  </si>
  <si>
    <t>RES 0 OHM JUMPER 1/16W 0402</t>
  </si>
  <si>
    <t>62.5mW ±25ppm/℃ ±0.1% 500kΩ 0603 Chip Resistor - Surface Mount ROHS</t>
  </si>
  <si>
    <t>125mW ±25ppm/℃ ±0.1% 400kΩ 0805 Chip Resistor - Surface Mount ROHS</t>
  </si>
  <si>
    <t>125mW Thin Film Resistor 100V ±25ppm/℃ ±0.1% 125kΩ 0805 Chip Resistor - Surface Mount ROHS</t>
  </si>
  <si>
    <t>SWITCH TACTILE SPST-NO 0.05A 12V</t>
  </si>
  <si>
    <t>Switch Tactile N.O. SPST Round Button Gull Wing 0.05A 12VDC 100000Cycles 1.57N SMD</t>
  </si>
  <si>
    <t>IC REG BUCK ADJ 3A TSOT23-6</t>
  </si>
  <si>
    <t>IC BUF NON-INVERT 5.5V SOT23-5</t>
  </si>
  <si>
    <t>Rectifier Diode, 1 Phase, 1 Element, 2A, 400V V(RRM), Silicon, DO-15</t>
  </si>
  <si>
    <t>IC FLASH 16MBIT SPI/QUAD 8USON</t>
  </si>
  <si>
    <t>Colorless transparence -40℃~+150℃ 正贴 RGB 120° 1010 Light Emitting Diodes (LED) ROHS</t>
  </si>
  <si>
    <t>Intelligent WiFiI Module 1200M Dual Band+AC (High Power)</t>
  </si>
  <si>
    <t>IC HUB CONTROLLER USB 64VQFN</t>
  </si>
  <si>
    <t>IC DRP PORT CTLR USB-C 30WQFN</t>
  </si>
  <si>
    <t>IC REG BUCK ADJ 2A SOT23-5</t>
  </si>
  <si>
    <t>IC PWR SWITCH N-CHAN 1:2 10VSON</t>
  </si>
  <si>
    <t>30V 5A 2.3W 30mΩ@4A,8V null WSON-6 MOSFETs ROHS</t>
  </si>
  <si>
    <t>IC HOT SWAP CTRLR GP 16QFN</t>
  </si>
  <si>
    <t>IC RTC CLK/CALENDAR I2C 8SOIC</t>
  </si>
  <si>
    <t>Crystal, 12Mhz, 10Pf, 3.2Mm X 2.5Mm Frequency Nom 12Mhz Crystal Case Smd Rohs</t>
  </si>
  <si>
    <t>24MHz 8pF ±10ppm SMD3225-4P Crystals ROHS</t>
  </si>
  <si>
    <t>Footprint</t>
  </si>
  <si>
    <t>Cap-0805</t>
  </si>
  <si>
    <t>Cap-0603</t>
  </si>
  <si>
    <t>cap-0402</t>
  </si>
  <si>
    <t>Cap-0402</t>
  </si>
  <si>
    <t>Case-A</t>
  </si>
  <si>
    <t>Cap-1206</t>
  </si>
  <si>
    <t>SOD-323</t>
  </si>
  <si>
    <t>DFN1006-2L_</t>
  </si>
  <si>
    <t>SOD-523</t>
  </si>
  <si>
    <t>IND-0402</t>
  </si>
  <si>
    <t>SM08B-GHS-TB(LF)(SN)</t>
  </si>
  <si>
    <t>ADM6-30-01.5-L-4-2-A-TR</t>
  </si>
  <si>
    <t>QTH-030-01-L-D-A-K-TR</t>
  </si>
  <si>
    <t>12401832E402A</t>
  </si>
  <si>
    <t>MY-927-02</t>
  </si>
  <si>
    <t>LPAV3-160-1000D-1-4</t>
  </si>
  <si>
    <t>SM06B-GHS-TB(LF)(SN)</t>
  </si>
  <si>
    <t>YSPI0520-2R2M_</t>
  </si>
  <si>
    <t>VLS3012HBX-3R3M</t>
  </si>
  <si>
    <t>LED-0603</t>
  </si>
  <si>
    <t>Test-point</t>
  </si>
  <si>
    <t>6-TSOP_</t>
  </si>
  <si>
    <t>Sot-23</t>
  </si>
  <si>
    <t>Res-0402</t>
  </si>
  <si>
    <t>Res-0603</t>
  </si>
  <si>
    <t>RES-0805</t>
  </si>
  <si>
    <t>EVQ-P7J01P</t>
  </si>
  <si>
    <t>TL3340AF160QG</t>
  </si>
  <si>
    <t>SOT-23-6 THIN</t>
  </si>
  <si>
    <t>SOT-23-5</t>
  </si>
  <si>
    <t>QFN-56 (7x7)</t>
  </si>
  <si>
    <t>8-USON (2x3)</t>
  </si>
  <si>
    <t>XL-1010RGBC-WS2812B</t>
  </si>
  <si>
    <t>BL-R8812AF1</t>
  </si>
  <si>
    <t>64-VQFN (9x9)</t>
  </si>
  <si>
    <t>WQFN-30-EP(2.5x4.5)</t>
  </si>
  <si>
    <t>VSON-10-EP(3x3)</t>
  </si>
  <si>
    <t>CSD17313Q2</t>
  </si>
  <si>
    <t>16-QFN (4x4)</t>
  </si>
  <si>
    <t>SOIC-8(0.154", 3.90mm Width)</t>
  </si>
  <si>
    <t>MCSJK-7U-12.00-10-10-80-B-10</t>
  </si>
  <si>
    <t>SMD3225-4P</t>
  </si>
  <si>
    <t>Manufacturer Part Number</t>
  </si>
  <si>
    <t>CGA0805X5R476M100MT</t>
  </si>
  <si>
    <t>GRM188R61E106KA73D</t>
  </si>
  <si>
    <t>C1005X7R1H104KT000F</t>
  </si>
  <si>
    <t>CC0402KRX5R8BB105</t>
  </si>
  <si>
    <t>CL05A474KA5NNNC</t>
  </si>
  <si>
    <t>GRM158R61A226ME15D</t>
  </si>
  <si>
    <t>GRM1555C1H100JA01D</t>
  </si>
  <si>
    <t>GRM155R61E225KE11D</t>
  </si>
  <si>
    <t>T55A107M6R3C0150</t>
  </si>
  <si>
    <t>GRM31CR61A107MEA8L</t>
  </si>
  <si>
    <t>GCM1555C1H180GA16D</t>
  </si>
  <si>
    <t>CC0402KRX5R8BB103</t>
  </si>
  <si>
    <t>CC0402KRX7R9BB473</t>
  </si>
  <si>
    <t>1N4148WS</t>
  </si>
  <si>
    <t>ESD5341N-2/TR</t>
  </si>
  <si>
    <t>ESD5Z6.0T1G</t>
  </si>
  <si>
    <t>HPZ1005D221R50TF</t>
  </si>
  <si>
    <t>9774050151R</t>
  </si>
  <si>
    <t>YSPI0520-2R2M</t>
  </si>
  <si>
    <t>NCD0603G2</t>
  </si>
  <si>
    <t>NCD0603R3</t>
  </si>
  <si>
    <t>SI2301CDS</t>
  </si>
  <si>
    <t>BC817 6B 160-400</t>
  </si>
  <si>
    <t>2N7002KT1G</t>
  </si>
  <si>
    <t>IRLTS2242TRPBF</t>
  </si>
  <si>
    <t>SI2302CDS</t>
  </si>
  <si>
    <t>RC0402FR-07560RL</t>
  </si>
  <si>
    <t>RC0402FR-07100KL</t>
  </si>
  <si>
    <t>RC0603FR-0733K2L</t>
  </si>
  <si>
    <t>RC0402FR-07200RL</t>
  </si>
  <si>
    <t>RC0402FR-0710KL</t>
  </si>
  <si>
    <t>RT0402BRD07390RL</t>
  </si>
  <si>
    <t>CRCW04021K00FKEDHP</t>
  </si>
  <si>
    <t>RC0402FR-074K7L</t>
  </si>
  <si>
    <t>CRGCQ0402F27R</t>
  </si>
  <si>
    <t>RC0402FR-0756KL</t>
  </si>
  <si>
    <t>RC0603FR-0720KL</t>
  </si>
  <si>
    <t>RC0402FR-079K1L</t>
  </si>
  <si>
    <t>RC0402FR-07200KL</t>
  </si>
  <si>
    <t>RT0402BRD07150KL</t>
  </si>
  <si>
    <t>AT0402DRD0790K9L</t>
  </si>
  <si>
    <t>RC0603FR-071ML</t>
  </si>
  <si>
    <t>RC0402FR-070RL</t>
  </si>
  <si>
    <t>AR03BTC5003N</t>
  </si>
  <si>
    <t>AR05BTCW4003</t>
  </si>
  <si>
    <t>AR05BTCW1253</t>
  </si>
  <si>
    <t>TPS563201DDCR</t>
  </si>
  <si>
    <t>SN74LV1T34DBVR</t>
  </si>
  <si>
    <t>RP2040TR7</t>
  </si>
  <si>
    <t>W25Q16JVUXIQ TR</t>
  </si>
  <si>
    <t>TUSB8041RGCR</t>
  </si>
  <si>
    <t>HD3SS3220IRNHR</t>
  </si>
  <si>
    <t>TLV62569DBVR</t>
  </si>
  <si>
    <t>TPS2003CDRCR</t>
  </si>
  <si>
    <t>TPS25910RSAT</t>
  </si>
  <si>
    <t>DS3231MZ+TRL</t>
  </si>
  <si>
    <t>E3SB24E000009E</t>
  </si>
  <si>
    <t>Manufacturer</t>
  </si>
  <si>
    <t>HRE</t>
  </si>
  <si>
    <t>Murata</t>
  </si>
  <si>
    <t>TDK</t>
  </si>
  <si>
    <t>Yageo</t>
  </si>
  <si>
    <t>Samsung</t>
  </si>
  <si>
    <t>Vishay Sprague</t>
  </si>
  <si>
    <t>Murata Electronics</t>
  </si>
  <si>
    <t>Guangdong Hottech</t>
  </si>
  <si>
    <t>WILLSEMI</t>
  </si>
  <si>
    <t>TECH PUBLIC</t>
  </si>
  <si>
    <t>Sunlord</t>
  </si>
  <si>
    <t>JST</t>
  </si>
  <si>
    <t>Samtec</t>
  </si>
  <si>
    <t>Wurth Electronics</t>
  </si>
  <si>
    <t>Amphenol</t>
  </si>
  <si>
    <t>MYOUNG</t>
  </si>
  <si>
    <t>Bivar</t>
  </si>
  <si>
    <t>YJYCOIN</t>
  </si>
  <si>
    <t>Foshan NationStar Optoelectronics</t>
  </si>
  <si>
    <t>FUXINSEMI</t>
  </si>
  <si>
    <t>DOWO</t>
  </si>
  <si>
    <t>ON Semiconductor</t>
  </si>
  <si>
    <t>Infineon</t>
  </si>
  <si>
    <t>Vishay Dale</t>
  </si>
  <si>
    <t>TE Connectivity</t>
  </si>
  <si>
    <t>Viking Tech</t>
  </si>
  <si>
    <t>Panasonic</t>
  </si>
  <si>
    <t>E-Switch</t>
  </si>
  <si>
    <t>Texas Instruments</t>
  </si>
  <si>
    <t>Raspberry Pi</t>
  </si>
  <si>
    <t>Winbond</t>
  </si>
  <si>
    <t>XINGLIGHT</t>
  </si>
  <si>
    <t>Maxim</t>
  </si>
  <si>
    <t>Multicomp</t>
  </si>
  <si>
    <t>Hosonic Elec</t>
  </si>
  <si>
    <t>47uF</t>
  </si>
  <si>
    <t>10uF</t>
  </si>
  <si>
    <t>100nF</t>
  </si>
  <si>
    <t>1uF</t>
  </si>
  <si>
    <t>470nF</t>
  </si>
  <si>
    <t>22uF</t>
  </si>
  <si>
    <t>10pF</t>
  </si>
  <si>
    <t>2.2uF</t>
  </si>
  <si>
    <t>100uF</t>
  </si>
  <si>
    <t>18pF</t>
  </si>
  <si>
    <t>0.01uF</t>
  </si>
  <si>
    <t>47nF</t>
  </si>
  <si>
    <t>2.2uH</t>
  </si>
  <si>
    <t>3.3uH</t>
  </si>
  <si>
    <t>DNP</t>
  </si>
  <si>
    <t>560R</t>
  </si>
  <si>
    <t>100K</t>
  </si>
  <si>
    <t>33.2K</t>
  </si>
  <si>
    <t>200R</t>
  </si>
  <si>
    <t>10K</t>
  </si>
  <si>
    <t>1K</t>
  </si>
  <si>
    <t>4.7K</t>
  </si>
  <si>
    <t>27R</t>
  </si>
  <si>
    <t>20K</t>
  </si>
  <si>
    <t>9.1K</t>
  </si>
  <si>
    <t>200K</t>
  </si>
  <si>
    <t>150K</t>
  </si>
  <si>
    <t>90.9K</t>
  </si>
  <si>
    <t>1M</t>
  </si>
  <si>
    <t>0R</t>
  </si>
  <si>
    <t>500K</t>
  </si>
  <si>
    <t>400K</t>
  </si>
  <si>
    <t>125K</t>
  </si>
  <si>
    <t>12MHz</t>
  </si>
  <si>
    <t>Quantity</t>
  </si>
  <si>
    <t>Remarks</t>
  </si>
  <si>
    <t>Peripheral</t>
  </si>
  <si>
    <t>-</t>
  </si>
  <si>
    <t>Coin Cell</t>
  </si>
  <si>
    <t>CR927</t>
  </si>
  <si>
    <t>Value</t>
  </si>
  <si>
    <t>DO NOT PLACE</t>
  </si>
  <si>
    <t>J11,J12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</si>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</sst>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1" fontId="4" fillId="2" borderId="7" xfId="0" applyNumberFormat="1" applyFont="1" applyFill="1" applyBorder="1" applyAlignment="1">
      <alignment horizontal="center" vertical="center" wrapText="1"/>
    </xf>
    <xf numFmtId="11" fontId="4" fillId="2" borderId="3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9"/>
  <sheetViews>
    <sheetView tabSelected="1" topLeftCell="A64" workbookViewId="0">
      <selection activeCell="J21" sqref="J21"/>
    </sheetView>
  </sheetViews>
  <sheetFormatPr defaultRowHeight="1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16.42578125" bestFit="1" customWidth="1"/>
    <col min="9" max="9" width="6.140625" bestFit="1" customWidth="1"/>
    <col min="10" max="10" width="16.7109375" bestFit="1" customWidth="1"/>
    <col min="11" max="11" width="29.42578125" customWidth="1"/>
  </cols>
  <sheetData>
    <row r="1" spans="1:11" ht="15.75" thickBot="1">
      <c r="A1" s="1"/>
      <c r="B1" s="3"/>
      <c r="C1" s="3"/>
      <c r="D1" s="2"/>
      <c r="E1" s="2"/>
      <c r="F1" s="2"/>
      <c r="G1" s="2"/>
      <c r="H1" s="2"/>
      <c r="I1" s="23"/>
      <c r="J1" s="23"/>
      <c r="K1" s="23"/>
    </row>
    <row r="2" spans="1:11" ht="15.75" thickBot="1">
      <c r="A2" s="1"/>
      <c r="B2" s="5" t="s">
        <v>0</v>
      </c>
      <c r="C2" s="5" t="s">
        <v>1</v>
      </c>
      <c r="D2" s="5" t="s">
        <v>28</v>
      </c>
      <c r="E2" s="6" t="s">
        <v>103</v>
      </c>
      <c r="F2" s="5" t="s">
        <v>176</v>
      </c>
      <c r="G2" s="6" t="s">
        <v>219</v>
      </c>
      <c r="H2" s="5" t="s">
        <v>277</v>
      </c>
      <c r="I2" s="6" t="s">
        <v>353</v>
      </c>
      <c r="J2" s="5" t="s">
        <v>347</v>
      </c>
      <c r="K2" s="5" t="s">
        <v>348</v>
      </c>
    </row>
    <row r="3" spans="1:11" ht="36.75" thickBot="1">
      <c r="A3" s="1"/>
      <c r="B3" s="11">
        <f>ROW(B3) - ROW($B$2)</f>
        <v>1</v>
      </c>
      <c r="C3" s="12" t="s">
        <v>2</v>
      </c>
      <c r="D3" s="7" t="s">
        <v>29</v>
      </c>
      <c r="E3" s="8" t="s">
        <v>104</v>
      </c>
      <c r="F3" s="7" t="s">
        <v>177</v>
      </c>
      <c r="G3" s="8" t="s">
        <v>220</v>
      </c>
      <c r="H3" s="7" t="s">
        <v>278</v>
      </c>
      <c r="I3" s="8" t="s">
        <v>313</v>
      </c>
      <c r="J3" s="7">
        <v>4</v>
      </c>
      <c r="K3" s="7"/>
    </row>
    <row r="4" spans="1:11" ht="15.75" thickBot="1">
      <c r="A4" s="1"/>
      <c r="B4" s="11">
        <f t="shared" ref="B4:B78" si="0">ROW(B4) - ROW($B$2)</f>
        <v>2</v>
      </c>
      <c r="C4" s="12" t="s">
        <v>2</v>
      </c>
      <c r="D4" s="9" t="s">
        <v>30</v>
      </c>
      <c r="E4" s="10" t="s">
        <v>105</v>
      </c>
      <c r="F4" s="9" t="s">
        <v>178</v>
      </c>
      <c r="G4" s="10" t="s">
        <v>221</v>
      </c>
      <c r="H4" s="9" t="s">
        <v>279</v>
      </c>
      <c r="I4" s="10" t="s">
        <v>314</v>
      </c>
      <c r="J4" s="9">
        <v>8</v>
      </c>
      <c r="K4" s="9"/>
    </row>
    <row r="5" spans="1:11" ht="24.75" thickBot="1">
      <c r="A5" s="1"/>
      <c r="B5" s="11">
        <f>ROW(B5) - ROW($B$2)</f>
        <v>3</v>
      </c>
      <c r="C5" s="12" t="s">
        <v>2</v>
      </c>
      <c r="D5" s="7" t="s">
        <v>31</v>
      </c>
      <c r="E5" s="8" t="s">
        <v>106</v>
      </c>
      <c r="F5" s="7" t="s">
        <v>179</v>
      </c>
      <c r="G5" s="8" t="s">
        <v>222</v>
      </c>
      <c r="H5" s="7" t="s">
        <v>280</v>
      </c>
      <c r="I5" s="8" t="s">
        <v>315</v>
      </c>
      <c r="J5" s="7">
        <v>20</v>
      </c>
      <c r="K5" s="7"/>
    </row>
    <row r="6" spans="1:11" ht="15.75" thickBot="1">
      <c r="A6" s="1"/>
      <c r="B6" s="11">
        <f t="shared" si="0"/>
        <v>4</v>
      </c>
      <c r="C6" s="12" t="s">
        <v>2</v>
      </c>
      <c r="D6" s="9" t="s">
        <v>32</v>
      </c>
      <c r="E6" s="10" t="s">
        <v>107</v>
      </c>
      <c r="F6" s="9" t="s">
        <v>180</v>
      </c>
      <c r="G6" s="10" t="s">
        <v>223</v>
      </c>
      <c r="H6" s="9" t="s">
        <v>281</v>
      </c>
      <c r="I6" s="10" t="s">
        <v>316</v>
      </c>
      <c r="J6" s="9">
        <v>2</v>
      </c>
      <c r="K6" s="9"/>
    </row>
    <row r="7" spans="1:11" ht="15.75" thickBot="1">
      <c r="A7" s="1"/>
      <c r="B7" s="11">
        <f>ROW(B7) - ROW($B$2)</f>
        <v>5</v>
      </c>
      <c r="C7" s="12" t="s">
        <v>2</v>
      </c>
      <c r="D7" s="7" t="s">
        <v>33</v>
      </c>
      <c r="E7" s="8" t="s">
        <v>108</v>
      </c>
      <c r="F7" s="7" t="s">
        <v>180</v>
      </c>
      <c r="G7" s="8" t="s">
        <v>224</v>
      </c>
      <c r="H7" s="7" t="s">
        <v>282</v>
      </c>
      <c r="I7" s="8" t="s">
        <v>317</v>
      </c>
      <c r="J7" s="7">
        <v>6</v>
      </c>
      <c r="K7" s="7"/>
    </row>
    <row r="8" spans="1:11" ht="36.75" thickBot="1">
      <c r="A8" s="1"/>
      <c r="B8" s="11">
        <f t="shared" si="0"/>
        <v>6</v>
      </c>
      <c r="C8" s="12" t="s">
        <v>2</v>
      </c>
      <c r="D8" s="9" t="s">
        <v>34</v>
      </c>
      <c r="E8" s="10" t="s">
        <v>109</v>
      </c>
      <c r="F8" s="9" t="s">
        <v>180</v>
      </c>
      <c r="G8" s="10" t="s">
        <v>225</v>
      </c>
      <c r="H8" s="9" t="s">
        <v>279</v>
      </c>
      <c r="I8" s="10" t="s">
        <v>318</v>
      </c>
      <c r="J8" s="9">
        <v>5</v>
      </c>
      <c r="K8" s="9"/>
    </row>
    <row r="9" spans="1:11" ht="15.75" thickBot="1">
      <c r="A9" s="1"/>
      <c r="B9" s="11">
        <f>ROW(B9) - ROW($B$2)</f>
        <v>7</v>
      </c>
      <c r="C9" s="12" t="s">
        <v>2</v>
      </c>
      <c r="D9" s="7" t="s">
        <v>35</v>
      </c>
      <c r="E9" s="8" t="s">
        <v>110</v>
      </c>
      <c r="F9" s="7" t="s">
        <v>180</v>
      </c>
      <c r="G9" s="8" t="s">
        <v>226</v>
      </c>
      <c r="H9" s="7" t="s">
        <v>279</v>
      </c>
      <c r="I9" s="8" t="s">
        <v>319</v>
      </c>
      <c r="J9" s="7">
        <v>2</v>
      </c>
      <c r="K9" s="7"/>
    </row>
    <row r="10" spans="1:11" ht="15.75" thickBot="1">
      <c r="A10" s="1"/>
      <c r="B10" s="11">
        <f t="shared" si="0"/>
        <v>8</v>
      </c>
      <c r="C10" s="12" t="s">
        <v>2</v>
      </c>
      <c r="D10" s="9" t="s">
        <v>36</v>
      </c>
      <c r="E10" s="10" t="s">
        <v>111</v>
      </c>
      <c r="F10" s="9" t="s">
        <v>180</v>
      </c>
      <c r="G10" s="10" t="s">
        <v>227</v>
      </c>
      <c r="H10" s="9" t="s">
        <v>279</v>
      </c>
      <c r="I10" s="10" t="s">
        <v>320</v>
      </c>
      <c r="J10" s="9">
        <v>4</v>
      </c>
      <c r="K10" s="9"/>
    </row>
    <row r="11" spans="1:11" ht="15.75" thickBot="1">
      <c r="A11" s="1"/>
      <c r="B11" s="11">
        <f>ROW(B11) - ROW($B$2)</f>
        <v>9</v>
      </c>
      <c r="C11" s="12" t="s">
        <v>2</v>
      </c>
      <c r="D11" s="7" t="s">
        <v>37</v>
      </c>
      <c r="E11" s="8" t="s">
        <v>112</v>
      </c>
      <c r="F11" s="7" t="s">
        <v>181</v>
      </c>
      <c r="G11" s="8" t="s">
        <v>228</v>
      </c>
      <c r="H11" s="7" t="s">
        <v>283</v>
      </c>
      <c r="I11" s="8" t="s">
        <v>321</v>
      </c>
      <c r="J11" s="7">
        <v>1</v>
      </c>
      <c r="K11" s="7"/>
    </row>
    <row r="12" spans="1:11" ht="36.75" thickBot="1">
      <c r="A12" s="1"/>
      <c r="B12" s="11">
        <f t="shared" si="0"/>
        <v>10</v>
      </c>
      <c r="C12" s="12" t="s">
        <v>2</v>
      </c>
      <c r="D12" s="9" t="s">
        <v>38</v>
      </c>
      <c r="E12" s="10" t="s">
        <v>113</v>
      </c>
      <c r="F12" s="9" t="s">
        <v>182</v>
      </c>
      <c r="G12" s="10" t="s">
        <v>229</v>
      </c>
      <c r="H12" s="9" t="s">
        <v>284</v>
      </c>
      <c r="I12" s="10" t="s">
        <v>321</v>
      </c>
      <c r="J12" s="9">
        <v>1</v>
      </c>
      <c r="K12" s="9"/>
    </row>
    <row r="13" spans="1:11" ht="15.75" thickBot="1">
      <c r="A13" s="1"/>
      <c r="B13" s="11">
        <f>ROW(B13) - ROW($B$2)</f>
        <v>11</v>
      </c>
      <c r="C13" s="12" t="s">
        <v>2</v>
      </c>
      <c r="D13" s="7" t="s">
        <v>39</v>
      </c>
      <c r="E13" s="8" t="s">
        <v>114</v>
      </c>
      <c r="F13" s="7" t="s">
        <v>180</v>
      </c>
      <c r="G13" s="8" t="s">
        <v>230</v>
      </c>
      <c r="H13" s="7" t="s">
        <v>279</v>
      </c>
      <c r="I13" s="8" t="s">
        <v>322</v>
      </c>
      <c r="J13" s="7">
        <v>2</v>
      </c>
      <c r="K13" s="7"/>
    </row>
    <row r="14" spans="1:11" ht="24.75" thickBot="1">
      <c r="A14" s="1"/>
      <c r="B14" s="11">
        <f t="shared" si="0"/>
        <v>12</v>
      </c>
      <c r="C14" s="12" t="s">
        <v>2</v>
      </c>
      <c r="D14" s="9" t="s">
        <v>40</v>
      </c>
      <c r="E14" s="10" t="s">
        <v>115</v>
      </c>
      <c r="F14" s="9" t="s">
        <v>180</v>
      </c>
      <c r="G14" s="10" t="s">
        <v>231</v>
      </c>
      <c r="H14" s="9" t="s">
        <v>281</v>
      </c>
      <c r="I14" s="10" t="s">
        <v>323</v>
      </c>
      <c r="J14" s="9">
        <v>11</v>
      </c>
      <c r="K14" s="9"/>
    </row>
    <row r="15" spans="1:11" ht="15.75" thickBot="1">
      <c r="A15" s="1"/>
      <c r="B15" s="11">
        <f>ROW(B15) - ROW($B$2)</f>
        <v>13</v>
      </c>
      <c r="C15" s="12" t="s">
        <v>2</v>
      </c>
      <c r="D15" s="7" t="s">
        <v>41</v>
      </c>
      <c r="E15" s="8" t="s">
        <v>116</v>
      </c>
      <c r="F15" s="7" t="s">
        <v>180</v>
      </c>
      <c r="G15" s="8" t="s">
        <v>232</v>
      </c>
      <c r="H15" s="7" t="s">
        <v>281</v>
      </c>
      <c r="I15" s="8" t="s">
        <v>324</v>
      </c>
      <c r="J15" s="7">
        <v>1</v>
      </c>
      <c r="K15" s="7"/>
    </row>
    <row r="16" spans="1:11" ht="36.75" thickBot="1">
      <c r="A16" s="1"/>
      <c r="B16" s="11">
        <f t="shared" si="0"/>
        <v>14</v>
      </c>
      <c r="C16" s="13" t="s">
        <v>3</v>
      </c>
      <c r="D16" s="9" t="s">
        <v>42</v>
      </c>
      <c r="E16" s="10" t="s">
        <v>117</v>
      </c>
      <c r="F16" s="9" t="s">
        <v>183</v>
      </c>
      <c r="G16" s="10" t="s">
        <v>233</v>
      </c>
      <c r="H16" s="9" t="s">
        <v>285</v>
      </c>
      <c r="I16" s="10" t="s">
        <v>350</v>
      </c>
      <c r="J16" s="9">
        <v>8</v>
      </c>
      <c r="K16" s="9"/>
    </row>
    <row r="17" spans="1:11" ht="24.75" thickBot="1">
      <c r="A17" s="1"/>
      <c r="B17" s="11">
        <f>ROW(B17) - ROW($B$2)</f>
        <v>15</v>
      </c>
      <c r="C17" s="12" t="s">
        <v>3</v>
      </c>
      <c r="D17" s="7" t="s">
        <v>43</v>
      </c>
      <c r="E17" s="8" t="s">
        <v>118</v>
      </c>
      <c r="F17" s="7" t="s">
        <v>184</v>
      </c>
      <c r="G17" s="8" t="s">
        <v>234</v>
      </c>
      <c r="H17" s="7" t="s">
        <v>286</v>
      </c>
      <c r="I17" s="10" t="s">
        <v>350</v>
      </c>
      <c r="J17" s="7">
        <v>2</v>
      </c>
      <c r="K17" s="7"/>
    </row>
    <row r="18" spans="1:11" ht="24.75" thickBot="1">
      <c r="A18" s="1"/>
      <c r="B18" s="11">
        <f t="shared" si="0"/>
        <v>16</v>
      </c>
      <c r="C18" s="13" t="s">
        <v>4</v>
      </c>
      <c r="D18" s="9" t="s">
        <v>44</v>
      </c>
      <c r="E18" s="10" t="s">
        <v>119</v>
      </c>
      <c r="F18" s="9" t="s">
        <v>185</v>
      </c>
      <c r="G18" s="10" t="s">
        <v>235</v>
      </c>
      <c r="H18" s="9" t="s">
        <v>287</v>
      </c>
      <c r="I18" s="10" t="s">
        <v>350</v>
      </c>
      <c r="J18" s="9">
        <v>1</v>
      </c>
      <c r="K18" s="9"/>
    </row>
    <row r="19" spans="1:11" ht="15.75" thickBot="1">
      <c r="A19" s="1"/>
      <c r="B19" s="11">
        <f>ROW(B19) - ROW($B$2)</f>
        <v>17</v>
      </c>
      <c r="C19" s="12" t="s">
        <v>5</v>
      </c>
      <c r="D19" s="7" t="s">
        <v>45</v>
      </c>
      <c r="E19" s="8" t="s">
        <v>120</v>
      </c>
      <c r="F19" s="7" t="s">
        <v>186</v>
      </c>
      <c r="G19" s="8" t="s">
        <v>236</v>
      </c>
      <c r="H19" s="7" t="s">
        <v>288</v>
      </c>
      <c r="I19" s="10" t="s">
        <v>350</v>
      </c>
      <c r="J19" s="7">
        <v>1</v>
      </c>
      <c r="K19" s="7"/>
    </row>
    <row r="20" spans="1:11" ht="15.75" thickBot="1">
      <c r="A20" s="1"/>
      <c r="B20" s="11">
        <f t="shared" si="0"/>
        <v>18</v>
      </c>
      <c r="C20" s="13" t="s">
        <v>6</v>
      </c>
      <c r="D20" s="9" t="s">
        <v>356</v>
      </c>
      <c r="E20" s="10" t="s">
        <v>121</v>
      </c>
      <c r="F20" s="9" t="s">
        <v>187</v>
      </c>
      <c r="G20" s="10" t="s">
        <v>187</v>
      </c>
      <c r="H20" s="9" t="s">
        <v>289</v>
      </c>
      <c r="I20" s="10" t="s">
        <v>350</v>
      </c>
      <c r="J20" s="9">
        <v>1</v>
      </c>
      <c r="K20" s="9"/>
    </row>
    <row r="21" spans="1:11" ht="15.75" thickBot="1">
      <c r="A21" s="1"/>
      <c r="B21" s="11">
        <f>ROW(B21) - ROW($B$2)</f>
        <v>19</v>
      </c>
      <c r="C21" s="12" t="s">
        <v>7</v>
      </c>
      <c r="D21" s="7" t="s">
        <v>46</v>
      </c>
      <c r="E21" s="8" t="s">
        <v>122</v>
      </c>
      <c r="F21" s="7" t="s">
        <v>188</v>
      </c>
      <c r="G21" s="8" t="s">
        <v>188</v>
      </c>
      <c r="H21" s="7" t="s">
        <v>290</v>
      </c>
      <c r="I21" s="10" t="s">
        <v>350</v>
      </c>
      <c r="J21" s="7">
        <v>1</v>
      </c>
      <c r="K21" s="7"/>
    </row>
    <row r="22" spans="1:11" ht="15.75" thickBot="1">
      <c r="A22" s="1"/>
      <c r="B22" s="11">
        <f t="shared" si="0"/>
        <v>20</v>
      </c>
      <c r="C22" s="12" t="s">
        <v>7</v>
      </c>
      <c r="D22" s="9" t="s">
        <v>47</v>
      </c>
      <c r="E22" s="10" t="s">
        <v>123</v>
      </c>
      <c r="F22" s="9" t="s">
        <v>189</v>
      </c>
      <c r="G22" s="10" t="s">
        <v>189</v>
      </c>
      <c r="H22" s="9" t="s">
        <v>290</v>
      </c>
      <c r="I22" s="10" t="s">
        <v>350</v>
      </c>
      <c r="J22" s="9">
        <v>1</v>
      </c>
      <c r="K22" s="9"/>
    </row>
    <row r="23" spans="1:11" ht="24.75" thickBot="1">
      <c r="A23" s="1"/>
      <c r="B23" s="11">
        <f>ROW(B23) - ROW($B$2)</f>
        <v>21</v>
      </c>
      <c r="C23" s="12" t="s">
        <v>8</v>
      </c>
      <c r="D23" s="7" t="s">
        <v>48</v>
      </c>
      <c r="E23" s="8" t="s">
        <v>124</v>
      </c>
      <c r="F23" s="7" t="s">
        <v>8</v>
      </c>
      <c r="G23" s="8" t="s">
        <v>237</v>
      </c>
      <c r="H23" s="7" t="s">
        <v>291</v>
      </c>
      <c r="I23" s="10" t="s">
        <v>350</v>
      </c>
      <c r="J23" s="7">
        <v>4</v>
      </c>
      <c r="K23" s="7"/>
    </row>
    <row r="24" spans="1:11" ht="15.75" thickBot="1">
      <c r="A24" s="1"/>
      <c r="B24" s="11">
        <f t="shared" si="0"/>
        <v>22</v>
      </c>
      <c r="C24" s="13" t="s">
        <v>9</v>
      </c>
      <c r="D24" s="9" t="s">
        <v>49</v>
      </c>
      <c r="E24" s="10" t="s">
        <v>125</v>
      </c>
      <c r="F24" s="14" t="s">
        <v>190</v>
      </c>
      <c r="G24" s="15" t="s">
        <v>190</v>
      </c>
      <c r="H24" s="9" t="s">
        <v>292</v>
      </c>
      <c r="I24" s="10" t="s">
        <v>350</v>
      </c>
      <c r="J24" s="9">
        <v>1</v>
      </c>
      <c r="K24" s="9"/>
    </row>
    <row r="25" spans="1:11" ht="36.75" thickBot="1">
      <c r="A25" s="1"/>
      <c r="B25" s="11">
        <f>ROW(B25) - ROW($B$2)</f>
        <v>23</v>
      </c>
      <c r="C25" s="12" t="s">
        <v>10</v>
      </c>
      <c r="D25" s="7" t="s">
        <v>50</v>
      </c>
      <c r="E25" s="8" t="s">
        <v>126</v>
      </c>
      <c r="F25" s="7" t="s">
        <v>191</v>
      </c>
      <c r="G25" s="8" t="s">
        <v>191</v>
      </c>
      <c r="H25" s="7" t="s">
        <v>293</v>
      </c>
      <c r="I25" s="10" t="s">
        <v>350</v>
      </c>
      <c r="J25" s="7">
        <v>1</v>
      </c>
      <c r="K25" s="7"/>
    </row>
    <row r="26" spans="1:11" ht="15.75" thickBot="1">
      <c r="A26" s="1"/>
      <c r="B26" s="11">
        <f t="shared" si="0"/>
        <v>24</v>
      </c>
      <c r="C26" s="13" t="s">
        <v>11</v>
      </c>
      <c r="D26" s="9" t="s">
        <v>51</v>
      </c>
      <c r="E26" s="10" t="s">
        <v>127</v>
      </c>
      <c r="F26" s="9" t="s">
        <v>192</v>
      </c>
      <c r="G26" s="10" t="s">
        <v>192</v>
      </c>
      <c r="H26" s="9" t="s">
        <v>294</v>
      </c>
      <c r="I26" s="10" t="s">
        <v>350</v>
      </c>
      <c r="J26" s="9">
        <v>1</v>
      </c>
      <c r="K26" s="9"/>
    </row>
    <row r="27" spans="1:11" ht="15.75" thickBot="1">
      <c r="A27" s="1"/>
      <c r="B27" s="11">
        <f>ROW(B27) - ROW($B$2)</f>
        <v>25</v>
      </c>
      <c r="C27" s="12" t="s">
        <v>12</v>
      </c>
      <c r="D27" s="7" t="s">
        <v>355</v>
      </c>
      <c r="E27" s="8" t="s">
        <v>128</v>
      </c>
      <c r="F27" s="7" t="s">
        <v>193</v>
      </c>
      <c r="G27" s="8" t="s">
        <v>193</v>
      </c>
      <c r="H27" s="7" t="s">
        <v>289</v>
      </c>
      <c r="I27" s="10" t="s">
        <v>350</v>
      </c>
      <c r="J27" s="7">
        <v>2</v>
      </c>
      <c r="K27" s="7"/>
    </row>
    <row r="28" spans="1:11" ht="36.75" thickBot="1">
      <c r="A28" s="1"/>
      <c r="B28" s="11">
        <f t="shared" si="0"/>
        <v>26</v>
      </c>
      <c r="C28" s="13" t="s">
        <v>13</v>
      </c>
      <c r="D28" s="9" t="s">
        <v>52</v>
      </c>
      <c r="E28" s="10" t="s">
        <v>129</v>
      </c>
      <c r="F28" s="9" t="s">
        <v>194</v>
      </c>
      <c r="G28" s="10" t="s">
        <v>238</v>
      </c>
      <c r="H28" s="9" t="s">
        <v>295</v>
      </c>
      <c r="I28" s="10" t="s">
        <v>325</v>
      </c>
      <c r="J28" s="9">
        <v>1</v>
      </c>
      <c r="K28" s="9"/>
    </row>
    <row r="29" spans="1:11" ht="15.75" thickBot="1">
      <c r="A29" s="1"/>
      <c r="B29" s="11">
        <f>ROW(B29) - ROW($B$2)</f>
        <v>27</v>
      </c>
      <c r="C29" s="13" t="s">
        <v>13</v>
      </c>
      <c r="D29" s="7" t="s">
        <v>53</v>
      </c>
      <c r="E29" s="8" t="s">
        <v>130</v>
      </c>
      <c r="F29" s="7" t="s">
        <v>195</v>
      </c>
      <c r="G29" s="8" t="s">
        <v>195</v>
      </c>
      <c r="H29" s="7" t="s">
        <v>280</v>
      </c>
      <c r="I29" s="8" t="s">
        <v>326</v>
      </c>
      <c r="J29" s="7">
        <v>1</v>
      </c>
      <c r="K29" s="7"/>
    </row>
    <row r="30" spans="1:11" ht="24.75" thickBot="1">
      <c r="A30" s="1"/>
      <c r="B30" s="11">
        <f t="shared" si="0"/>
        <v>28</v>
      </c>
      <c r="C30" s="13" t="s">
        <v>14</v>
      </c>
      <c r="D30" s="9" t="s">
        <v>54</v>
      </c>
      <c r="E30" s="10" t="s">
        <v>131</v>
      </c>
      <c r="F30" s="9" t="s">
        <v>196</v>
      </c>
      <c r="G30" s="10" t="s">
        <v>239</v>
      </c>
      <c r="H30" s="9" t="s">
        <v>296</v>
      </c>
      <c r="I30" s="10" t="s">
        <v>350</v>
      </c>
      <c r="J30" s="9">
        <v>3</v>
      </c>
      <c r="K30" s="9"/>
    </row>
    <row r="31" spans="1:11" ht="24.75" thickBot="1">
      <c r="A31" s="1"/>
      <c r="B31" s="11">
        <f>ROW(B31) - ROW($B$2)</f>
        <v>29</v>
      </c>
      <c r="C31" s="12" t="s">
        <v>14</v>
      </c>
      <c r="D31" s="21" t="s">
        <v>55</v>
      </c>
      <c r="E31" s="22" t="s">
        <v>132</v>
      </c>
      <c r="F31" s="21" t="s">
        <v>196</v>
      </c>
      <c r="G31" s="22" t="s">
        <v>240</v>
      </c>
      <c r="H31" s="21" t="s">
        <v>296</v>
      </c>
      <c r="I31" s="22" t="s">
        <v>327</v>
      </c>
      <c r="J31" s="21">
        <v>1</v>
      </c>
      <c r="K31" s="20" t="s">
        <v>354</v>
      </c>
    </row>
    <row r="32" spans="1:11" ht="48.75" thickBot="1">
      <c r="A32" s="1"/>
      <c r="B32" s="11">
        <f t="shared" si="0"/>
        <v>30</v>
      </c>
      <c r="C32" s="13" t="s">
        <v>15</v>
      </c>
      <c r="D32" s="9" t="s">
        <v>56</v>
      </c>
      <c r="E32" s="10" t="s">
        <v>133</v>
      </c>
      <c r="F32" s="9" t="s">
        <v>197</v>
      </c>
      <c r="G32" s="10" t="s">
        <v>15</v>
      </c>
      <c r="H32" s="9"/>
      <c r="I32" s="10" t="s">
        <v>350</v>
      </c>
      <c r="J32" s="9">
        <v>33</v>
      </c>
      <c r="K32" s="9"/>
    </row>
    <row r="33" spans="1:11" ht="36.75" thickBot="1">
      <c r="A33" s="1"/>
      <c r="B33" s="11">
        <f>ROW(B33) - ROW($B$2)</f>
        <v>31</v>
      </c>
      <c r="C33" s="12" t="s">
        <v>18</v>
      </c>
      <c r="D33" s="7" t="s">
        <v>57</v>
      </c>
      <c r="E33" s="8" t="s">
        <v>134</v>
      </c>
      <c r="F33" s="7" t="s">
        <v>16</v>
      </c>
      <c r="G33" s="8" t="s">
        <v>241</v>
      </c>
      <c r="H33" s="7" t="s">
        <v>297</v>
      </c>
      <c r="I33" s="10" t="s">
        <v>350</v>
      </c>
      <c r="J33" s="7">
        <v>1</v>
      </c>
      <c r="K33" s="7"/>
    </row>
    <row r="34" spans="1:11" ht="36.75" thickBot="1">
      <c r="A34" s="1"/>
      <c r="B34" s="11">
        <f t="shared" si="0"/>
        <v>32</v>
      </c>
      <c r="C34" s="13" t="s">
        <v>17</v>
      </c>
      <c r="D34" s="9" t="s">
        <v>58</v>
      </c>
      <c r="E34" s="10" t="s">
        <v>135</v>
      </c>
      <c r="F34" s="9" t="s">
        <v>16</v>
      </c>
      <c r="G34" s="10" t="s">
        <v>242</v>
      </c>
      <c r="H34" s="9" t="s">
        <v>298</v>
      </c>
      <c r="I34" s="10" t="s">
        <v>350</v>
      </c>
      <c r="J34" s="9">
        <v>2</v>
      </c>
      <c r="K34" s="9"/>
    </row>
    <row r="35" spans="1:11" ht="15.75" thickBot="1">
      <c r="A35" s="1"/>
      <c r="B35" s="11">
        <f>ROW(B35) - ROW($B$2)</f>
        <v>33</v>
      </c>
      <c r="C35" s="12" t="s">
        <v>18</v>
      </c>
      <c r="D35" s="7" t="s">
        <v>59</v>
      </c>
      <c r="E35" s="8" t="s">
        <v>136</v>
      </c>
      <c r="F35" s="7" t="s">
        <v>16</v>
      </c>
      <c r="G35" s="8" t="s">
        <v>243</v>
      </c>
      <c r="H35" s="7" t="s">
        <v>299</v>
      </c>
      <c r="I35" s="10" t="s">
        <v>350</v>
      </c>
      <c r="J35" s="7">
        <v>1</v>
      </c>
      <c r="K35" s="7"/>
    </row>
    <row r="36" spans="1:11" ht="15.75" thickBot="1">
      <c r="A36" s="1"/>
      <c r="B36" s="11">
        <f t="shared" si="0"/>
        <v>34</v>
      </c>
      <c r="C36" s="13" t="s">
        <v>19</v>
      </c>
      <c r="D36" s="9" t="s">
        <v>60</v>
      </c>
      <c r="E36" s="10" t="s">
        <v>137</v>
      </c>
      <c r="F36" s="9" t="s">
        <v>198</v>
      </c>
      <c r="G36" s="10" t="s">
        <v>244</v>
      </c>
      <c r="H36" s="9" t="s">
        <v>300</v>
      </c>
      <c r="I36" s="10" t="s">
        <v>350</v>
      </c>
      <c r="J36" s="9">
        <v>1</v>
      </c>
      <c r="K36" s="9"/>
    </row>
    <row r="37" spans="1:11" ht="15.75" thickBot="1">
      <c r="A37" s="1"/>
      <c r="B37" s="11">
        <f>ROW(B37) - ROW($B$2)</f>
        <v>35</v>
      </c>
      <c r="C37" s="12" t="s">
        <v>20</v>
      </c>
      <c r="D37" s="21" t="s">
        <v>61</v>
      </c>
      <c r="E37" s="22" t="s">
        <v>138</v>
      </c>
      <c r="F37" s="21" t="s">
        <v>199</v>
      </c>
      <c r="G37" s="22" t="s">
        <v>245</v>
      </c>
      <c r="H37" s="21" t="s">
        <v>287</v>
      </c>
      <c r="I37" s="22" t="s">
        <v>327</v>
      </c>
      <c r="J37" s="21">
        <v>1</v>
      </c>
      <c r="K37" s="20" t="s">
        <v>354</v>
      </c>
    </row>
    <row r="38" spans="1:11" ht="15.75" thickBot="1">
      <c r="A38" s="1"/>
      <c r="B38" s="11">
        <f t="shared" si="0"/>
        <v>36</v>
      </c>
      <c r="C38" s="13" t="s">
        <v>21</v>
      </c>
      <c r="D38" s="9" t="s">
        <v>62</v>
      </c>
      <c r="E38" s="10" t="s">
        <v>139</v>
      </c>
      <c r="F38" s="9" t="s">
        <v>200</v>
      </c>
      <c r="G38" s="10" t="s">
        <v>246</v>
      </c>
      <c r="H38" s="9" t="s">
        <v>281</v>
      </c>
      <c r="I38" s="10" t="s">
        <v>328</v>
      </c>
      <c r="J38" s="9">
        <v>1</v>
      </c>
      <c r="K38" s="9"/>
    </row>
    <row r="39" spans="1:11" ht="24.75" thickBot="1">
      <c r="A39" s="1"/>
      <c r="B39" s="11">
        <f>ROW(B39) - ROW($B$2)</f>
        <v>37</v>
      </c>
      <c r="C39" s="12" t="s">
        <v>21</v>
      </c>
      <c r="D39" s="7" t="s">
        <v>63</v>
      </c>
      <c r="E39" s="8" t="s">
        <v>140</v>
      </c>
      <c r="F39" s="7" t="s">
        <v>200</v>
      </c>
      <c r="G39" s="8" t="s">
        <v>247</v>
      </c>
      <c r="H39" s="7" t="s">
        <v>281</v>
      </c>
      <c r="I39" s="8" t="s">
        <v>329</v>
      </c>
      <c r="J39" s="7">
        <v>12</v>
      </c>
      <c r="K39" s="7"/>
    </row>
    <row r="40" spans="1:11" ht="15.75" thickBot="1">
      <c r="A40" s="1"/>
      <c r="B40" s="11">
        <f t="shared" si="0"/>
        <v>38</v>
      </c>
      <c r="C40" s="12" t="s">
        <v>21</v>
      </c>
      <c r="D40" s="9" t="s">
        <v>64</v>
      </c>
      <c r="E40" s="10" t="s">
        <v>141</v>
      </c>
      <c r="F40" s="9" t="s">
        <v>201</v>
      </c>
      <c r="G40" s="10" t="s">
        <v>248</v>
      </c>
      <c r="H40" s="9" t="s">
        <v>281</v>
      </c>
      <c r="I40" s="10" t="s">
        <v>330</v>
      </c>
      <c r="J40" s="9">
        <v>1</v>
      </c>
      <c r="K40" s="9"/>
    </row>
    <row r="41" spans="1:11" ht="15.75" thickBot="1">
      <c r="A41" s="1"/>
      <c r="B41" s="11">
        <f>ROW(B41) - ROW($B$2)</f>
        <v>39</v>
      </c>
      <c r="C41" s="12" t="s">
        <v>21</v>
      </c>
      <c r="D41" s="7" t="s">
        <v>65</v>
      </c>
      <c r="E41" s="8" t="s">
        <v>142</v>
      </c>
      <c r="F41" s="7" t="s">
        <v>200</v>
      </c>
      <c r="G41" s="8" t="s">
        <v>249</v>
      </c>
      <c r="H41" s="7" t="s">
        <v>281</v>
      </c>
      <c r="I41" s="8" t="s">
        <v>331</v>
      </c>
      <c r="J41" s="7">
        <v>3</v>
      </c>
      <c r="K41" s="7"/>
    </row>
    <row r="42" spans="1:11" ht="24.75" thickBot="1">
      <c r="A42" s="1"/>
      <c r="B42" s="11">
        <f t="shared" si="0"/>
        <v>40</v>
      </c>
      <c r="C42" s="12" t="s">
        <v>21</v>
      </c>
      <c r="D42" s="9" t="s">
        <v>66</v>
      </c>
      <c r="E42" s="10" t="s">
        <v>143</v>
      </c>
      <c r="F42" s="9" t="s">
        <v>200</v>
      </c>
      <c r="G42" s="10" t="s">
        <v>250</v>
      </c>
      <c r="H42" s="9" t="s">
        <v>281</v>
      </c>
      <c r="I42" s="10" t="s">
        <v>332</v>
      </c>
      <c r="J42" s="9">
        <v>14</v>
      </c>
      <c r="K42" s="9"/>
    </row>
    <row r="43" spans="1:11" ht="15.75" thickBot="1">
      <c r="A43" s="1"/>
      <c r="B43" s="11">
        <f>ROW(B43) - ROW($B$2)</f>
        <v>41</v>
      </c>
      <c r="C43" s="12" t="s">
        <v>21</v>
      </c>
      <c r="D43" s="21" t="s">
        <v>67</v>
      </c>
      <c r="E43" s="22" t="s">
        <v>144</v>
      </c>
      <c r="F43" s="21" t="s">
        <v>200</v>
      </c>
      <c r="G43" s="22" t="s">
        <v>251</v>
      </c>
      <c r="H43" s="21" t="s">
        <v>281</v>
      </c>
      <c r="I43" s="22" t="s">
        <v>327</v>
      </c>
      <c r="J43" s="21">
        <v>1</v>
      </c>
      <c r="K43" s="20" t="s">
        <v>354</v>
      </c>
    </row>
    <row r="44" spans="1:11" ht="15.75" thickBot="1">
      <c r="A44" s="1"/>
      <c r="B44" s="11">
        <f t="shared" si="0"/>
        <v>42</v>
      </c>
      <c r="C44" s="12" t="s">
        <v>21</v>
      </c>
      <c r="D44" s="9" t="s">
        <v>68</v>
      </c>
      <c r="E44" s="10" t="s">
        <v>145</v>
      </c>
      <c r="F44" s="9" t="s">
        <v>200</v>
      </c>
      <c r="G44" s="10" t="s">
        <v>252</v>
      </c>
      <c r="H44" s="9" t="s">
        <v>301</v>
      </c>
      <c r="I44" s="10" t="s">
        <v>333</v>
      </c>
      <c r="J44" s="9">
        <v>6</v>
      </c>
      <c r="K44" s="9"/>
    </row>
    <row r="45" spans="1:11" ht="15.75" thickBot="1">
      <c r="A45" s="1"/>
      <c r="B45" s="11">
        <f>ROW(B45) - ROW($B$2)</f>
        <v>43</v>
      </c>
      <c r="C45" s="12" t="s">
        <v>21</v>
      </c>
      <c r="D45" s="21" t="s">
        <v>69</v>
      </c>
      <c r="E45" s="22" t="s">
        <v>143</v>
      </c>
      <c r="F45" s="21" t="s">
        <v>200</v>
      </c>
      <c r="G45" s="22" t="s">
        <v>250</v>
      </c>
      <c r="H45" s="21" t="s">
        <v>281</v>
      </c>
      <c r="I45" s="22" t="s">
        <v>327</v>
      </c>
      <c r="J45" s="21">
        <v>3</v>
      </c>
      <c r="K45" s="20" t="s">
        <v>354</v>
      </c>
    </row>
    <row r="46" spans="1:11" ht="15.75" thickBot="1">
      <c r="A46" s="1"/>
      <c r="B46" s="11">
        <f t="shared" si="0"/>
        <v>44</v>
      </c>
      <c r="C46" s="12" t="s">
        <v>21</v>
      </c>
      <c r="D46" s="9" t="s">
        <v>70</v>
      </c>
      <c r="E46" s="10" t="s">
        <v>146</v>
      </c>
      <c r="F46" s="9" t="s">
        <v>200</v>
      </c>
      <c r="G46" s="10" t="s">
        <v>253</v>
      </c>
      <c r="H46" s="9" t="s">
        <v>281</v>
      </c>
      <c r="I46" s="10" t="s">
        <v>334</v>
      </c>
      <c r="J46" s="9">
        <v>3</v>
      </c>
      <c r="K46" s="9"/>
    </row>
    <row r="47" spans="1:11" ht="36.75" thickBot="1">
      <c r="A47" s="1"/>
      <c r="B47" s="11">
        <f>ROW(B47) - ROW($B$2)</f>
        <v>45</v>
      </c>
      <c r="C47" s="12" t="s">
        <v>21</v>
      </c>
      <c r="D47" s="7" t="s">
        <v>71</v>
      </c>
      <c r="E47" s="8" t="s">
        <v>147</v>
      </c>
      <c r="F47" s="7" t="s">
        <v>200</v>
      </c>
      <c r="G47" s="8" t="s">
        <v>254</v>
      </c>
      <c r="H47" s="7" t="s">
        <v>302</v>
      </c>
      <c r="I47" s="8" t="s">
        <v>335</v>
      </c>
      <c r="J47" s="7">
        <v>2</v>
      </c>
      <c r="K47" s="7"/>
    </row>
    <row r="48" spans="1:11" ht="15.75" thickBot="1">
      <c r="A48" s="1"/>
      <c r="B48" s="11">
        <f t="shared" si="0"/>
        <v>46</v>
      </c>
      <c r="C48" s="12" t="s">
        <v>21</v>
      </c>
      <c r="D48" s="21" t="s">
        <v>72</v>
      </c>
      <c r="E48" s="22" t="s">
        <v>146</v>
      </c>
      <c r="F48" s="21" t="s">
        <v>200</v>
      </c>
      <c r="G48" s="22" t="s">
        <v>253</v>
      </c>
      <c r="H48" s="21" t="s">
        <v>281</v>
      </c>
      <c r="I48" s="22" t="s">
        <v>327</v>
      </c>
      <c r="J48" s="21">
        <v>2</v>
      </c>
      <c r="K48" s="20" t="s">
        <v>354</v>
      </c>
    </row>
    <row r="49" spans="1:11" ht="15.75" thickBot="1">
      <c r="A49" s="1"/>
      <c r="B49" s="11">
        <f>ROW(B49) - ROW($B$2)</f>
        <v>47</v>
      </c>
      <c r="C49" s="12" t="s">
        <v>21</v>
      </c>
      <c r="D49" s="21" t="s">
        <v>73</v>
      </c>
      <c r="E49" s="22" t="s">
        <v>148</v>
      </c>
      <c r="F49" s="21" t="s">
        <v>200</v>
      </c>
      <c r="G49" s="22" t="s">
        <v>255</v>
      </c>
      <c r="H49" s="21" t="s">
        <v>281</v>
      </c>
      <c r="I49" s="22" t="s">
        <v>327</v>
      </c>
      <c r="J49" s="21">
        <v>2</v>
      </c>
      <c r="K49" s="20" t="s">
        <v>354</v>
      </c>
    </row>
    <row r="50" spans="1:11" ht="15.75" thickBot="1">
      <c r="A50" s="1"/>
      <c r="B50" s="11">
        <f t="shared" si="0"/>
        <v>48</v>
      </c>
      <c r="C50" s="12" t="s">
        <v>21</v>
      </c>
      <c r="D50" s="9" t="s">
        <v>74</v>
      </c>
      <c r="E50" s="10" t="s">
        <v>149</v>
      </c>
      <c r="F50" s="9" t="s">
        <v>201</v>
      </c>
      <c r="G50" s="10" t="s">
        <v>256</v>
      </c>
      <c r="H50" s="9" t="s">
        <v>281</v>
      </c>
      <c r="I50" s="10" t="s">
        <v>336</v>
      </c>
      <c r="J50" s="9">
        <v>1</v>
      </c>
      <c r="K50" s="9"/>
    </row>
    <row r="51" spans="1:11" ht="15.75" thickBot="1">
      <c r="A51" s="1"/>
      <c r="B51" s="11">
        <f>ROW(B51) - ROW($B$2)</f>
        <v>49</v>
      </c>
      <c r="C51" s="12" t="s">
        <v>21</v>
      </c>
      <c r="D51" s="21" t="s">
        <v>75</v>
      </c>
      <c r="E51" s="22" t="s">
        <v>145</v>
      </c>
      <c r="F51" s="21" t="s">
        <v>200</v>
      </c>
      <c r="G51" s="22" t="s">
        <v>252</v>
      </c>
      <c r="H51" s="21" t="s">
        <v>301</v>
      </c>
      <c r="I51" s="22" t="s">
        <v>327</v>
      </c>
      <c r="J51" s="21">
        <v>1</v>
      </c>
      <c r="K51" s="20" t="s">
        <v>354</v>
      </c>
    </row>
    <row r="52" spans="1:11" ht="15.75" thickBot="1">
      <c r="A52" s="1"/>
      <c r="B52" s="11">
        <f t="shared" si="0"/>
        <v>50</v>
      </c>
      <c r="C52" s="13" t="s">
        <v>21</v>
      </c>
      <c r="D52" s="9" t="s">
        <v>76</v>
      </c>
      <c r="E52" s="10" t="s">
        <v>150</v>
      </c>
      <c r="F52" s="9" t="s">
        <v>200</v>
      </c>
      <c r="G52" s="10" t="s">
        <v>257</v>
      </c>
      <c r="H52" s="9" t="s">
        <v>281</v>
      </c>
      <c r="I52" s="10" t="s">
        <v>337</v>
      </c>
      <c r="J52" s="9">
        <v>1</v>
      </c>
      <c r="K52" s="9"/>
    </row>
    <row r="53" spans="1:11" ht="15.75" thickBot="1">
      <c r="A53" s="1"/>
      <c r="B53" s="11">
        <f>ROW(B53) - ROW($B$2)</f>
        <v>51</v>
      </c>
      <c r="C53" s="12" t="s">
        <v>21</v>
      </c>
      <c r="D53" s="7" t="s">
        <v>77</v>
      </c>
      <c r="E53" s="8" t="s">
        <v>151</v>
      </c>
      <c r="F53" s="7" t="s">
        <v>200</v>
      </c>
      <c r="G53" s="8" t="s">
        <v>258</v>
      </c>
      <c r="H53" s="7" t="s">
        <v>281</v>
      </c>
      <c r="I53" s="8" t="s">
        <v>338</v>
      </c>
      <c r="J53" s="7">
        <v>4</v>
      </c>
      <c r="K53" s="7"/>
    </row>
    <row r="54" spans="1:11" ht="15.75" thickBot="1">
      <c r="A54" s="1"/>
      <c r="B54" s="11">
        <f t="shared" si="0"/>
        <v>52</v>
      </c>
      <c r="C54" s="13" t="s">
        <v>21</v>
      </c>
      <c r="D54" s="9" t="s">
        <v>78</v>
      </c>
      <c r="E54" s="10" t="s">
        <v>152</v>
      </c>
      <c r="F54" s="9" t="s">
        <v>200</v>
      </c>
      <c r="G54" s="10" t="s">
        <v>259</v>
      </c>
      <c r="H54" s="9" t="s">
        <v>281</v>
      </c>
      <c r="I54" s="10" t="s">
        <v>339</v>
      </c>
      <c r="J54" s="9">
        <v>1</v>
      </c>
      <c r="K54" s="9"/>
    </row>
    <row r="55" spans="1:11" ht="15.75" thickBot="1">
      <c r="A55" s="1"/>
      <c r="B55" s="11">
        <f>ROW(B55) - ROW($B$2)</f>
        <v>53</v>
      </c>
      <c r="C55" s="12" t="s">
        <v>21</v>
      </c>
      <c r="D55" s="7" t="s">
        <v>79</v>
      </c>
      <c r="E55" s="8" t="s">
        <v>153</v>
      </c>
      <c r="F55" s="7" t="s">
        <v>200</v>
      </c>
      <c r="G55" s="8" t="s">
        <v>260</v>
      </c>
      <c r="H55" s="7" t="s">
        <v>281</v>
      </c>
      <c r="I55" s="8" t="s">
        <v>340</v>
      </c>
      <c r="J55" s="7">
        <v>1</v>
      </c>
      <c r="K55" s="7"/>
    </row>
    <row r="56" spans="1:11" ht="15.75" thickBot="1">
      <c r="A56" s="1"/>
      <c r="B56" s="11">
        <f t="shared" si="0"/>
        <v>54</v>
      </c>
      <c r="C56" s="13" t="s">
        <v>21</v>
      </c>
      <c r="D56" s="9" t="s">
        <v>80</v>
      </c>
      <c r="E56" s="10" t="s">
        <v>154</v>
      </c>
      <c r="F56" s="9" t="s">
        <v>201</v>
      </c>
      <c r="G56" s="10" t="s">
        <v>261</v>
      </c>
      <c r="H56" s="9" t="s">
        <v>281</v>
      </c>
      <c r="I56" s="10" t="s">
        <v>341</v>
      </c>
      <c r="J56" s="9">
        <v>1</v>
      </c>
      <c r="K56" s="9"/>
    </row>
    <row r="57" spans="1:11" ht="15.75" thickBot="1">
      <c r="A57" s="1"/>
      <c r="B57" s="11">
        <f>ROW(B57) - ROW($B$2)</f>
        <v>55</v>
      </c>
      <c r="C57" s="12" t="s">
        <v>22</v>
      </c>
      <c r="D57" s="7" t="s">
        <v>81</v>
      </c>
      <c r="E57" s="8" t="s">
        <v>155</v>
      </c>
      <c r="F57" s="7" t="s">
        <v>200</v>
      </c>
      <c r="G57" s="8" t="s">
        <v>262</v>
      </c>
      <c r="H57" s="7" t="s">
        <v>281</v>
      </c>
      <c r="I57" s="8" t="s">
        <v>342</v>
      </c>
      <c r="J57" s="7">
        <v>3</v>
      </c>
      <c r="K57" s="7"/>
    </row>
    <row r="58" spans="1:11" ht="15.75" thickBot="1">
      <c r="A58" s="1"/>
      <c r="B58" s="11">
        <f t="shared" si="0"/>
        <v>56</v>
      </c>
      <c r="C58" s="13" t="s">
        <v>22</v>
      </c>
      <c r="D58" s="21" t="s">
        <v>82</v>
      </c>
      <c r="E58" s="22" t="s">
        <v>155</v>
      </c>
      <c r="F58" s="21" t="s">
        <v>200</v>
      </c>
      <c r="G58" s="22" t="s">
        <v>262</v>
      </c>
      <c r="H58" s="21" t="s">
        <v>281</v>
      </c>
      <c r="I58" s="22" t="s">
        <v>327</v>
      </c>
      <c r="J58" s="21">
        <v>1</v>
      </c>
      <c r="K58" s="20" t="s">
        <v>354</v>
      </c>
    </row>
    <row r="59" spans="1:11" ht="24.75" thickBot="1">
      <c r="A59" s="1"/>
      <c r="B59" s="11">
        <f>ROW(B59) - ROW($B$2)</f>
        <v>57</v>
      </c>
      <c r="C59" s="12" t="s">
        <v>21</v>
      </c>
      <c r="D59" s="7" t="s">
        <v>83</v>
      </c>
      <c r="E59" s="8" t="s">
        <v>156</v>
      </c>
      <c r="F59" s="7" t="s">
        <v>201</v>
      </c>
      <c r="G59" s="8" t="s">
        <v>263</v>
      </c>
      <c r="H59" s="7" t="s">
        <v>303</v>
      </c>
      <c r="I59" s="8" t="s">
        <v>343</v>
      </c>
      <c r="J59" s="7">
        <v>1</v>
      </c>
      <c r="K59" s="7"/>
    </row>
    <row r="60" spans="1:11" ht="24.75" thickBot="1">
      <c r="A60" s="1"/>
      <c r="B60" s="11">
        <f t="shared" si="0"/>
        <v>58</v>
      </c>
      <c r="C60" s="13" t="s">
        <v>21</v>
      </c>
      <c r="D60" s="9" t="s">
        <v>84</v>
      </c>
      <c r="E60" s="10" t="s">
        <v>157</v>
      </c>
      <c r="F60" s="9" t="s">
        <v>202</v>
      </c>
      <c r="G60" s="10" t="s">
        <v>264</v>
      </c>
      <c r="H60" s="9" t="s">
        <v>303</v>
      </c>
      <c r="I60" s="10" t="s">
        <v>344</v>
      </c>
      <c r="J60" s="9">
        <v>1</v>
      </c>
      <c r="K60" s="9"/>
    </row>
    <row r="61" spans="1:11" ht="36.75" thickBot="1">
      <c r="A61" s="1"/>
      <c r="B61" s="11">
        <f>ROW(B61) - ROW($B$2)</f>
        <v>59</v>
      </c>
      <c r="C61" s="12" t="s">
        <v>21</v>
      </c>
      <c r="D61" s="7" t="s">
        <v>85</v>
      </c>
      <c r="E61" s="8" t="s">
        <v>158</v>
      </c>
      <c r="F61" s="7" t="s">
        <v>202</v>
      </c>
      <c r="G61" s="8" t="s">
        <v>265</v>
      </c>
      <c r="H61" s="7" t="s">
        <v>303</v>
      </c>
      <c r="I61" s="8" t="s">
        <v>345</v>
      </c>
      <c r="J61" s="7">
        <v>1</v>
      </c>
      <c r="K61" s="7"/>
    </row>
    <row r="62" spans="1:11" ht="15.75" thickBot="1">
      <c r="A62" s="1"/>
      <c r="B62" s="11">
        <f t="shared" si="0"/>
        <v>60</v>
      </c>
      <c r="C62" s="13" t="s">
        <v>23</v>
      </c>
      <c r="D62" s="21" t="s">
        <v>86</v>
      </c>
      <c r="E62" s="22" t="s">
        <v>159</v>
      </c>
      <c r="F62" s="21" t="s">
        <v>203</v>
      </c>
      <c r="G62" s="22" t="s">
        <v>203</v>
      </c>
      <c r="H62" s="21" t="s">
        <v>304</v>
      </c>
      <c r="I62" s="22" t="s">
        <v>327</v>
      </c>
      <c r="J62" s="21">
        <v>1</v>
      </c>
      <c r="K62" s="20" t="s">
        <v>354</v>
      </c>
    </row>
    <row r="63" spans="1:11" ht="36.75" thickBot="1">
      <c r="A63" s="1"/>
      <c r="B63" s="11">
        <f>ROW(B63) - ROW($B$2)</f>
        <v>61</v>
      </c>
      <c r="C63" s="13" t="s">
        <v>23</v>
      </c>
      <c r="D63" s="7" t="s">
        <v>87</v>
      </c>
      <c r="E63" s="8" t="s">
        <v>160</v>
      </c>
      <c r="F63" s="7" t="s">
        <v>204</v>
      </c>
      <c r="G63" s="8" t="s">
        <v>204</v>
      </c>
      <c r="H63" s="7" t="s">
        <v>305</v>
      </c>
      <c r="I63" s="8" t="s">
        <v>350</v>
      </c>
      <c r="J63" s="7">
        <v>2</v>
      </c>
      <c r="K63" s="7"/>
    </row>
    <row r="64" spans="1:11" ht="15.75" thickBot="1">
      <c r="A64" s="1"/>
      <c r="B64" s="11">
        <f t="shared" si="0"/>
        <v>62</v>
      </c>
      <c r="C64" s="13" t="s">
        <v>24</v>
      </c>
      <c r="D64" s="9" t="s">
        <v>88</v>
      </c>
      <c r="E64" s="10" t="s">
        <v>161</v>
      </c>
      <c r="F64" s="9" t="s">
        <v>205</v>
      </c>
      <c r="G64" s="10" t="s">
        <v>266</v>
      </c>
      <c r="H64" s="9" t="s">
        <v>306</v>
      </c>
      <c r="I64" s="8" t="s">
        <v>350</v>
      </c>
      <c r="J64" s="9">
        <v>1</v>
      </c>
      <c r="K64" s="9"/>
    </row>
    <row r="65" spans="1:11" ht="15.75" thickBot="1">
      <c r="A65" s="1"/>
      <c r="B65" s="11">
        <f>ROW(B65) - ROW($B$2)</f>
        <v>63</v>
      </c>
      <c r="C65" s="12" t="s">
        <v>24</v>
      </c>
      <c r="D65" s="7" t="s">
        <v>89</v>
      </c>
      <c r="E65" s="8" t="s">
        <v>162</v>
      </c>
      <c r="F65" s="7" t="s">
        <v>206</v>
      </c>
      <c r="G65" s="8" t="s">
        <v>267</v>
      </c>
      <c r="H65" s="7" t="s">
        <v>306</v>
      </c>
      <c r="I65" s="8" t="s">
        <v>350</v>
      </c>
      <c r="J65" s="7">
        <v>1</v>
      </c>
      <c r="K65" s="7"/>
    </row>
    <row r="66" spans="1:11" ht="24.75" thickBot="1">
      <c r="A66" s="1"/>
      <c r="B66" s="11">
        <f t="shared" si="0"/>
        <v>64</v>
      </c>
      <c r="C66" s="12" t="s">
        <v>24</v>
      </c>
      <c r="D66" s="9" t="s">
        <v>90</v>
      </c>
      <c r="E66" s="10" t="s">
        <v>163</v>
      </c>
      <c r="F66" s="9" t="s">
        <v>207</v>
      </c>
      <c r="G66" s="10" t="s">
        <v>268</v>
      </c>
      <c r="H66" s="9" t="s">
        <v>307</v>
      </c>
      <c r="I66" s="8" t="s">
        <v>350</v>
      </c>
      <c r="J66" s="9">
        <v>1</v>
      </c>
      <c r="K66" s="9"/>
    </row>
    <row r="67" spans="1:11" ht="15.75" thickBot="1">
      <c r="A67" s="1"/>
      <c r="B67" s="11">
        <f>ROW(B67) - ROW($B$2)</f>
        <v>65</v>
      </c>
      <c r="C67" s="12" t="s">
        <v>24</v>
      </c>
      <c r="D67" s="7" t="s">
        <v>91</v>
      </c>
      <c r="E67" s="8" t="s">
        <v>164</v>
      </c>
      <c r="F67" s="7" t="s">
        <v>208</v>
      </c>
      <c r="G67" s="8" t="s">
        <v>269</v>
      </c>
      <c r="H67" s="7" t="s">
        <v>308</v>
      </c>
      <c r="I67" s="8" t="s">
        <v>350</v>
      </c>
      <c r="J67" s="7">
        <v>1</v>
      </c>
      <c r="K67" s="7"/>
    </row>
    <row r="68" spans="1:11" ht="36.75" thickBot="1">
      <c r="A68" s="1"/>
      <c r="B68" s="11">
        <f t="shared" si="0"/>
        <v>66</v>
      </c>
      <c r="C68" s="13" t="s">
        <v>25</v>
      </c>
      <c r="D68" s="9" t="s">
        <v>92</v>
      </c>
      <c r="E68" s="10" t="s">
        <v>165</v>
      </c>
      <c r="F68" s="9" t="s">
        <v>209</v>
      </c>
      <c r="G68" s="10" t="s">
        <v>209</v>
      </c>
      <c r="H68" s="9" t="s">
        <v>309</v>
      </c>
      <c r="I68" s="8" t="s">
        <v>350</v>
      </c>
      <c r="J68" s="9">
        <v>4</v>
      </c>
      <c r="K68" s="9"/>
    </row>
    <row r="69" spans="1:11" ht="24.75" thickBot="1">
      <c r="A69" s="1"/>
      <c r="B69" s="11">
        <f>ROW(B69) - ROW($B$2)</f>
        <v>67</v>
      </c>
      <c r="C69" s="12" t="s">
        <v>26</v>
      </c>
      <c r="D69" s="7" t="s">
        <v>93</v>
      </c>
      <c r="E69" s="8" t="s">
        <v>166</v>
      </c>
      <c r="F69" s="7" t="s">
        <v>210</v>
      </c>
      <c r="G69" s="8" t="s">
        <v>210</v>
      </c>
      <c r="H69" s="7"/>
      <c r="I69" s="8" t="s">
        <v>350</v>
      </c>
      <c r="J69" s="7">
        <v>1</v>
      </c>
      <c r="K69" s="7"/>
    </row>
    <row r="70" spans="1:11" ht="15.75" thickBot="1">
      <c r="A70" s="1"/>
      <c r="B70" s="11">
        <f t="shared" si="0"/>
        <v>68</v>
      </c>
      <c r="C70" s="13" t="s">
        <v>24</v>
      </c>
      <c r="D70" s="9" t="s">
        <v>94</v>
      </c>
      <c r="E70" s="10" t="s">
        <v>167</v>
      </c>
      <c r="F70" s="9" t="s">
        <v>211</v>
      </c>
      <c r="G70" s="10" t="s">
        <v>270</v>
      </c>
      <c r="H70" s="9" t="s">
        <v>306</v>
      </c>
      <c r="I70" s="8" t="s">
        <v>350</v>
      </c>
      <c r="J70" s="9">
        <v>1</v>
      </c>
      <c r="K70" s="9"/>
    </row>
    <row r="71" spans="1:11" ht="15.75" thickBot="1">
      <c r="A71" s="1"/>
      <c r="B71" s="11">
        <f>ROW(B71) - ROW($B$2)</f>
        <v>69</v>
      </c>
      <c r="C71" s="12" t="s">
        <v>24</v>
      </c>
      <c r="D71" s="7" t="s">
        <v>95</v>
      </c>
      <c r="E71" s="8" t="s">
        <v>168</v>
      </c>
      <c r="F71" s="7" t="s">
        <v>212</v>
      </c>
      <c r="G71" s="8" t="s">
        <v>271</v>
      </c>
      <c r="H71" s="7" t="s">
        <v>306</v>
      </c>
      <c r="I71" s="8" t="s">
        <v>350</v>
      </c>
      <c r="J71" s="7">
        <v>1</v>
      </c>
      <c r="K71" s="7"/>
    </row>
    <row r="72" spans="1:11" ht="15.75" thickBot="1">
      <c r="A72" s="1"/>
      <c r="B72" s="11">
        <f t="shared" si="0"/>
        <v>70</v>
      </c>
      <c r="C72" s="13" t="s">
        <v>24</v>
      </c>
      <c r="D72" s="9" t="s">
        <v>96</v>
      </c>
      <c r="E72" s="10" t="s">
        <v>169</v>
      </c>
      <c r="F72" s="9" t="s">
        <v>206</v>
      </c>
      <c r="G72" s="10" t="s">
        <v>272</v>
      </c>
      <c r="H72" s="9" t="s">
        <v>306</v>
      </c>
      <c r="I72" s="8" t="s">
        <v>350</v>
      </c>
      <c r="J72" s="9">
        <v>1</v>
      </c>
      <c r="K72" s="9"/>
    </row>
    <row r="73" spans="1:11" ht="15.75" thickBot="1">
      <c r="A73" s="1"/>
      <c r="B73" s="11">
        <f>ROW(B73) - ROW($B$2)</f>
        <v>71</v>
      </c>
      <c r="C73" s="12" t="s">
        <v>24</v>
      </c>
      <c r="D73" s="7" t="s">
        <v>97</v>
      </c>
      <c r="E73" s="8" t="s">
        <v>170</v>
      </c>
      <c r="F73" s="7" t="s">
        <v>213</v>
      </c>
      <c r="G73" s="8" t="s">
        <v>273</v>
      </c>
      <c r="H73" s="7" t="s">
        <v>306</v>
      </c>
      <c r="I73" s="8" t="s">
        <v>350</v>
      </c>
      <c r="J73" s="7">
        <v>1</v>
      </c>
      <c r="K73" s="7"/>
    </row>
    <row r="74" spans="1:11" ht="24.75" thickBot="1">
      <c r="A74" s="1"/>
      <c r="B74" s="11">
        <f t="shared" si="0"/>
        <v>72</v>
      </c>
      <c r="C74" s="13" t="s">
        <v>24</v>
      </c>
      <c r="D74" s="9" t="s">
        <v>98</v>
      </c>
      <c r="E74" s="10" t="s">
        <v>171</v>
      </c>
      <c r="F74" s="9" t="s">
        <v>214</v>
      </c>
      <c r="G74" s="10" t="s">
        <v>214</v>
      </c>
      <c r="H74" s="9" t="s">
        <v>306</v>
      </c>
      <c r="I74" s="8" t="s">
        <v>350</v>
      </c>
      <c r="J74" s="9">
        <v>1</v>
      </c>
      <c r="K74" s="9"/>
    </row>
    <row r="75" spans="1:11" ht="15.75" thickBot="1">
      <c r="A75" s="1"/>
      <c r="B75" s="11">
        <f>ROW(B75) - ROW($B$2)</f>
        <v>73</v>
      </c>
      <c r="C75" s="12" t="s">
        <v>24</v>
      </c>
      <c r="D75" s="7" t="s">
        <v>99</v>
      </c>
      <c r="E75" s="8" t="s">
        <v>172</v>
      </c>
      <c r="F75" s="7" t="s">
        <v>215</v>
      </c>
      <c r="G75" s="8" t="s">
        <v>274</v>
      </c>
      <c r="H75" s="7" t="s">
        <v>306</v>
      </c>
      <c r="I75" s="8" t="s">
        <v>350</v>
      </c>
      <c r="J75" s="7">
        <v>1</v>
      </c>
      <c r="K75" s="7"/>
    </row>
    <row r="76" spans="1:11" ht="15.75" thickBot="1">
      <c r="A76" s="1"/>
      <c r="B76" s="11">
        <f t="shared" si="0"/>
        <v>74</v>
      </c>
      <c r="C76" s="13" t="s">
        <v>24</v>
      </c>
      <c r="D76" s="9" t="s">
        <v>100</v>
      </c>
      <c r="E76" s="10" t="s">
        <v>173</v>
      </c>
      <c r="F76" s="9" t="s">
        <v>216</v>
      </c>
      <c r="G76" s="10" t="s">
        <v>275</v>
      </c>
      <c r="H76" s="9" t="s">
        <v>310</v>
      </c>
      <c r="I76" s="8" t="s">
        <v>350</v>
      </c>
      <c r="J76" s="9">
        <v>1</v>
      </c>
      <c r="K76" s="9"/>
    </row>
    <row r="77" spans="1:11" ht="36.75" thickBot="1">
      <c r="A77" s="1"/>
      <c r="B77" s="11">
        <f>ROW(B77) - ROW($B$2)</f>
        <v>75</v>
      </c>
      <c r="C77" s="12" t="s">
        <v>27</v>
      </c>
      <c r="D77" s="7" t="s">
        <v>101</v>
      </c>
      <c r="E77" s="8" t="s">
        <v>174</v>
      </c>
      <c r="F77" s="7" t="s">
        <v>217</v>
      </c>
      <c r="G77" s="8" t="s">
        <v>217</v>
      </c>
      <c r="H77" s="7" t="s">
        <v>311</v>
      </c>
      <c r="I77" s="8" t="s">
        <v>346</v>
      </c>
      <c r="J77" s="7">
        <v>1</v>
      </c>
      <c r="K77" s="7"/>
    </row>
    <row r="78" spans="1:11" ht="24.75" thickBot="1">
      <c r="A78" s="1"/>
      <c r="B78" s="11">
        <f t="shared" si="0"/>
        <v>76</v>
      </c>
      <c r="C78" s="13" t="s">
        <v>27</v>
      </c>
      <c r="D78" s="9" t="s">
        <v>102</v>
      </c>
      <c r="E78" s="10" t="s">
        <v>175</v>
      </c>
      <c r="F78" s="9" t="s">
        <v>218</v>
      </c>
      <c r="G78" s="10" t="s">
        <v>276</v>
      </c>
      <c r="H78" s="9" t="s">
        <v>312</v>
      </c>
      <c r="I78" s="10" t="s">
        <v>350</v>
      </c>
      <c r="J78" s="9">
        <v>1</v>
      </c>
      <c r="K78" s="9"/>
    </row>
    <row r="79" spans="1:11" ht="15.75" thickBot="1">
      <c r="B79" s="16">
        <f t="shared" ref="B79" si="1">ROW(B79)-ROW($B$2)</f>
        <v>77</v>
      </c>
      <c r="C79" s="17" t="s">
        <v>349</v>
      </c>
      <c r="D79" s="18" t="s">
        <v>350</v>
      </c>
      <c r="E79" s="19" t="s">
        <v>351</v>
      </c>
      <c r="F79" s="18" t="s">
        <v>350</v>
      </c>
      <c r="G79" s="19" t="s">
        <v>352</v>
      </c>
      <c r="H79" s="18" t="s">
        <v>350</v>
      </c>
      <c r="I79" s="19" t="s">
        <v>350</v>
      </c>
      <c r="J79" s="18">
        <v>1</v>
      </c>
      <c r="K79" s="18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2025-07-14T13:32:56Z</dcterms:modified>
</cp:coreProperties>
</file>
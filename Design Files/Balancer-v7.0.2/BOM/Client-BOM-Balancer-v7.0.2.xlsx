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gerholdvoorde-dronebms\Design Files\Balancer-v7.0.2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<sst xmlns="http://schemas.openxmlformats.org/spreadsheetml/2006/main" count="88" uniqueCount="76">
  <si>
    <t>#</t>
  </si>
  <si>
    <t>Item Type</t>
  </si>
  <si>
    <t>Capacitor</t>
  </si>
  <si>
    <t>Diode</t>
  </si>
  <si>
    <t>Resistor</t>
  </si>
  <si>
    <t>IC</t>
  </si>
  <si>
    <t>Designator</t>
  </si>
  <si>
    <t>C1, C2</t>
  </si>
  <si>
    <t>C3</t>
  </si>
  <si>
    <t>C4, C5</t>
  </si>
  <si>
    <t>D1, D2</t>
  </si>
  <si>
    <t>P1</t>
  </si>
  <si>
    <t>R1, R2</t>
  </si>
  <si>
    <t>R4, R8</t>
  </si>
  <si>
    <t>R5</t>
  </si>
  <si>
    <t>R6</t>
  </si>
  <si>
    <t>R9</t>
  </si>
  <si>
    <t>U1</t>
  </si>
  <si>
    <t>Description</t>
  </si>
  <si>
    <t>CAP CER 0.47uF, 16V, X7R, 10% Tol, 0402 Multilayer Ceramic Capacitors MLCC - SMD/SMT ROHS</t>
  </si>
  <si>
    <t>CAP CER, 0.1 uF, 25 V, ± 10%, X7R, 0402 [1005 Metric]</t>
  </si>
  <si>
    <t>CAP CER, 1000 pF, 25 V, ± 10%, X7R, 0603 [1608 Metric]</t>
  </si>
  <si>
    <t>Zener Diode 4.7 V 300 mW ±5% Surface Mount SOD-323</t>
  </si>
  <si>
    <t>2.5mm Pitch, 7 Pin header Connector</t>
  </si>
  <si>
    <t>SMD RES, 150 Ohm, General Purpose Thick Film 0603 1% 1/10W ±100ppm/°C Ceramic Paper T/R</t>
  </si>
  <si>
    <t>SMD RES, 10KOhm, ± 0.5%, 100 mW, 0603 [1608 Metric], Thick Film, Ultra Precision</t>
  </si>
  <si>
    <t>SMD RES, 10 Ohm, ± 1%, 250 mW, 1206 [3216 Metric], Thick Film, General Purpose</t>
  </si>
  <si>
    <t>SMD RES, 100 Ohm, ± 1%, 250 mW, 1206 [3216 Metric], Thick Film, General Purpose</t>
  </si>
  <si>
    <t>SMD Current Sense Resistor, 0.0025 ohm, PA Series, 2512 [6432 Metric], 2W, ± 1%, Metal Strip</t>
  </si>
  <si>
    <t>Stand-Alone ModelGauge m5 Fuel Gauge with SHA-256 Authentication</t>
  </si>
  <si>
    <t>Footprint</t>
  </si>
  <si>
    <t>Cap-0402</t>
  </si>
  <si>
    <t>Cap-0603</t>
  </si>
  <si>
    <t>SOD-323</t>
  </si>
  <si>
    <t>Header CON</t>
  </si>
  <si>
    <t>Res-0603</t>
  </si>
  <si>
    <t>Res-1206</t>
  </si>
  <si>
    <t>RES-2512</t>
  </si>
  <si>
    <t>TDFN-14-EP(3x3)</t>
  </si>
  <si>
    <t>Manufacturer Part Number</t>
  </si>
  <si>
    <t>GRM155R71C474KE01D</t>
  </si>
  <si>
    <t>04023C104KAT2A</t>
  </si>
  <si>
    <t>C0603C102K3RACAUTO</t>
  </si>
  <si>
    <t>BZX38450-C4V7-QX</t>
  </si>
  <si>
    <t>MCWR06X1500FTL</t>
  </si>
  <si>
    <t>RE0603DRE0710KL</t>
  </si>
  <si>
    <t>RC1206FR-0710RL</t>
  </si>
  <si>
    <t>RC1206FR-07100RL</t>
  </si>
  <si>
    <t>PA2512FKF7W2U5E</t>
  </si>
  <si>
    <t>MAX17205G+</t>
  </si>
  <si>
    <t>Manufacturer</t>
  </si>
  <si>
    <t>Murata Electronics</t>
  </si>
  <si>
    <t>Kyocera AVX</t>
  </si>
  <si>
    <t>KEMET</t>
  </si>
  <si>
    <t>Nexperia USA Inc.</t>
  </si>
  <si>
    <t>Multicomp</t>
  </si>
  <si>
    <t>Yageo</t>
  </si>
  <si>
    <t>YAGEO</t>
  </si>
  <si>
    <t>Maxim</t>
  </si>
  <si>
    <t>0.47uF</t>
  </si>
  <si>
    <t>0.1uF</t>
  </si>
  <si>
    <t>1nF</t>
  </si>
  <si>
    <t>2.5mm</t>
  </si>
  <si>
    <t>150R</t>
  </si>
  <si>
    <t>10K</t>
  </si>
  <si>
    <t>10R</t>
  </si>
  <si>
    <t>100R</t>
  </si>
  <si>
    <t>2.5mR</t>
  </si>
  <si>
    <t>Quantity</t>
  </si>
  <si>
    <t>Header</t>
  </si>
  <si>
    <t>Remarks</t>
  </si>
  <si>
    <t>Value</t>
  </si>
  <si>
    <t>-</t>
  </si>
  <si>
    <t>Connector used by client (No part number)</t>
  </si>
  <si>
    <t>DS-B01F-A-7P-S2</t>
  </si>
  <si>
    <t>Merk Disong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</si>
</sst>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3"/>
  <sheetViews>
    <sheetView tabSelected="1" workbookViewId="0">
      <selection activeCell="M12" sqref="M1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10.5703125" bestFit="1" customWidth="1"/>
    <col min="5" max="5" width="30" customWidth="1"/>
    <col min="6" max="6" width="13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7.140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6</v>
      </c>
      <c r="E2" s="6" t="s">
        <v>18</v>
      </c>
      <c r="F2" s="5" t="s">
        <v>30</v>
      </c>
      <c r="G2" s="6" t="s">
        <v>39</v>
      </c>
      <c r="H2" s="5" t="s">
        <v>50</v>
      </c>
      <c r="I2" s="6" t="s">
        <v>71</v>
      </c>
      <c r="J2" s="5" t="s">
        <v>68</v>
      </c>
      <c r="K2" s="5" t="s">
        <v>70</v>
      </c>
    </row>
    <row r="3" spans="1:11" ht="36.75" thickBot="1" x14ac:dyDescent="0.3">
      <c r="A3" s="1"/>
      <c r="B3" s="11">
        <f>ROW(B3) - ROW($B$2)</f>
        <v>1</v>
      </c>
      <c r="C3" s="12" t="s">
        <v>2</v>
      </c>
      <c r="D3" s="7" t="s">
        <v>7</v>
      </c>
      <c r="E3" s="8" t="s">
        <v>19</v>
      </c>
      <c r="F3" s="7" t="s">
        <v>31</v>
      </c>
      <c r="G3" s="8" t="s">
        <v>40</v>
      </c>
      <c r="H3" s="7" t="s">
        <v>51</v>
      </c>
      <c r="I3" s="8" t="s">
        <v>59</v>
      </c>
      <c r="J3" s="7">
        <v>2</v>
      </c>
      <c r="K3" s="7"/>
    </row>
    <row r="4" spans="1:11" ht="24.75" thickBot="1" x14ac:dyDescent="0.3">
      <c r="A4" s="1"/>
      <c r="B4" s="11">
        <f t="shared" ref="B4:B12" si="0">ROW(B4) - ROW($B$2)</f>
        <v>2</v>
      </c>
      <c r="C4" s="13" t="s">
        <v>2</v>
      </c>
      <c r="D4" s="9" t="s">
        <v>8</v>
      </c>
      <c r="E4" s="10" t="s">
        <v>20</v>
      </c>
      <c r="F4" s="9" t="s">
        <v>31</v>
      </c>
      <c r="G4" s="10" t="s">
        <v>41</v>
      </c>
      <c r="H4" s="9" t="s">
        <v>52</v>
      </c>
      <c r="I4" s="10" t="s">
        <v>60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9</v>
      </c>
      <c r="E5" s="8" t="s">
        <v>21</v>
      </c>
      <c r="F5" s="7" t="s">
        <v>32</v>
      </c>
      <c r="G5" s="8" t="s">
        <v>42</v>
      </c>
      <c r="H5" s="7" t="s">
        <v>53</v>
      </c>
      <c r="I5" s="8" t="s">
        <v>61</v>
      </c>
      <c r="J5" s="7">
        <v>2</v>
      </c>
      <c r="K5" s="7"/>
    </row>
    <row r="6" spans="1:11" ht="24.75" thickBot="1" x14ac:dyDescent="0.3">
      <c r="A6" s="1"/>
      <c r="B6" s="11">
        <f t="shared" si="0"/>
        <v>4</v>
      </c>
      <c r="C6" s="13" t="s">
        <v>3</v>
      </c>
      <c r="D6" s="9" t="s">
        <v>10</v>
      </c>
      <c r="E6" s="10" t="s">
        <v>22</v>
      </c>
      <c r="F6" s="9" t="s">
        <v>33</v>
      </c>
      <c r="G6" s="10" t="s">
        <v>43</v>
      </c>
      <c r="H6" s="9" t="s">
        <v>54</v>
      </c>
      <c r="I6" s="10" t="s">
        <v>72</v>
      </c>
      <c r="J6" s="9">
        <v>2</v>
      </c>
      <c r="K6" s="9"/>
    </row>
    <row r="7" spans="1:11" ht="30.75" thickBot="1" x14ac:dyDescent="0.3">
      <c r="A7" s="1"/>
      <c r="B7" s="11">
        <f>ROW(B7) - ROW($B$2)</f>
        <v>5</v>
      </c>
      <c r="C7" s="12" t="s">
        <v>69</v>
      </c>
      <c r="D7" s="7" t="s">
        <v>11</v>
      </c>
      <c r="E7" s="8" t="s">
        <v>23</v>
      </c>
      <c r="F7" s="7" t="s">
        <v>34</v>
      </c>
      <c r="G7" s="8" t="s">
        <v>74</v>
      </c>
      <c r="H7" s="7" t="s">
        <v>75</v>
      </c>
      <c r="I7" s="8" t="s">
        <v>62</v>
      </c>
      <c r="J7" s="7">
        <v>1</v>
      </c>
      <c r="K7" s="14" t="s">
        <v>73</v>
      </c>
    </row>
    <row r="8" spans="1:11" ht="36.75" thickBot="1" x14ac:dyDescent="0.3">
      <c r="A8" s="1"/>
      <c r="B8" s="11">
        <f t="shared" si="0"/>
        <v>6</v>
      </c>
      <c r="C8" s="13" t="s">
        <v>4</v>
      </c>
      <c r="D8" s="9" t="s">
        <v>12</v>
      </c>
      <c r="E8" s="10" t="s">
        <v>24</v>
      </c>
      <c r="F8" s="9" t="s">
        <v>35</v>
      </c>
      <c r="G8" s="10" t="s">
        <v>44</v>
      </c>
      <c r="H8" s="9" t="s">
        <v>55</v>
      </c>
      <c r="I8" s="10" t="s">
        <v>63</v>
      </c>
      <c r="J8" s="9">
        <v>2</v>
      </c>
      <c r="K8" s="9"/>
    </row>
    <row r="9" spans="1:11" ht="36.75" thickBot="1" x14ac:dyDescent="0.3">
      <c r="A9" s="1"/>
      <c r="B9" s="11">
        <f>ROW(B9) - ROW($B$2)</f>
        <v>7</v>
      </c>
      <c r="C9" s="12" t="s">
        <v>4</v>
      </c>
      <c r="D9" s="7" t="s">
        <v>13</v>
      </c>
      <c r="E9" s="8" t="s">
        <v>25</v>
      </c>
      <c r="F9" s="7" t="s">
        <v>35</v>
      </c>
      <c r="G9" s="8" t="s">
        <v>45</v>
      </c>
      <c r="H9" s="7" t="s">
        <v>56</v>
      </c>
      <c r="I9" s="8" t="s">
        <v>64</v>
      </c>
      <c r="J9" s="7">
        <v>2</v>
      </c>
      <c r="K9" s="7"/>
    </row>
    <row r="10" spans="1:11" ht="36.75" thickBot="1" x14ac:dyDescent="0.3">
      <c r="A10" s="1"/>
      <c r="B10" s="11">
        <f t="shared" si="0"/>
        <v>8</v>
      </c>
      <c r="C10" s="13" t="s">
        <v>4</v>
      </c>
      <c r="D10" s="9" t="s">
        <v>14</v>
      </c>
      <c r="E10" s="10" t="s">
        <v>26</v>
      </c>
      <c r="F10" s="9" t="s">
        <v>36</v>
      </c>
      <c r="G10" s="10" t="s">
        <v>46</v>
      </c>
      <c r="H10" s="9" t="s">
        <v>56</v>
      </c>
      <c r="I10" s="10" t="s">
        <v>65</v>
      </c>
      <c r="J10" s="9">
        <v>1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4</v>
      </c>
      <c r="D11" s="7" t="s">
        <v>15</v>
      </c>
      <c r="E11" s="8" t="s">
        <v>27</v>
      </c>
      <c r="F11" s="7" t="s">
        <v>36</v>
      </c>
      <c r="G11" s="8" t="s">
        <v>47</v>
      </c>
      <c r="H11" s="7" t="s">
        <v>56</v>
      </c>
      <c r="I11" s="8" t="s">
        <v>66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4</v>
      </c>
      <c r="D12" s="9" t="s">
        <v>16</v>
      </c>
      <c r="E12" s="10" t="s">
        <v>28</v>
      </c>
      <c r="F12" s="9" t="s">
        <v>37</v>
      </c>
      <c r="G12" s="10" t="s">
        <v>48</v>
      </c>
      <c r="H12" s="9" t="s">
        <v>57</v>
      </c>
      <c r="I12" s="10" t="s">
        <v>67</v>
      </c>
      <c r="J12" s="9">
        <v>1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5</v>
      </c>
      <c r="D13" s="7" t="s">
        <v>17</v>
      </c>
      <c r="E13" s="8" t="s">
        <v>29</v>
      </c>
      <c r="F13" s="7" t="s">
        <v>38</v>
      </c>
      <c r="G13" s="8" t="s">
        <v>49</v>
      </c>
      <c r="H13" s="7" t="s">
        <v>58</v>
      </c>
      <c r="I13" s="8" t="s">
        <v>72</v>
      </c>
      <c r="J13" s="7">
        <v>1</v>
      </c>
      <c r="K13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2024-11-20T15:22:28Z</dcterms:modified>
</cp:coreProperties>
</file>
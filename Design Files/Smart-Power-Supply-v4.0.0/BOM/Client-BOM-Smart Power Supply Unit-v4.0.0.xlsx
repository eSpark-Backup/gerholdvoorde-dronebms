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iberDB\Documents\GitHub\gerholdvoorde-dronebms\Design Files\Smart-Power-Supply-v4.0.0\BOM\"/>
    </mc:Choice>
  </mc:AlternateContent>
  <bookViews>
    <workbookView xWindow="0" yWindow="0" windowWidth="19635" windowHeight="765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18" i="1" l="1"/>
  <c r="B17" i="1"/>
  <c r="B16" i="1"/>
  <c r="B15" i="1"/>
  <c r="B14" i="1"/>
  <c r="B13" i="1"/>
  <c r="B12" i="1"/>
  <c r="B11" i="1"/>
  <c r="B10" i="1"/>
  <c r="B9" i="1"/>
  <c r="B8" i="1"/>
  <c r="B7" i="1"/>
  <c r="B5" i="1"/>
  <c r="B4" i="1"/>
  <c r="B3" i="1"/>
</calcChain>
</file>

<file path=xl/sharedStrings.xml><?xml version="1.0" encoding="utf-8"?>
<sst xmlns="http://schemas.openxmlformats.org/spreadsheetml/2006/main" count="114" uniqueCount="88">
  <si>
    <t>#</t>
  </si>
  <si>
    <t>Item Type</t>
  </si>
  <si>
    <t>Designator</t>
  </si>
  <si>
    <t>Description</t>
  </si>
  <si>
    <t>Footprint</t>
  </si>
  <si>
    <t>Manufacturer Part Number</t>
  </si>
  <si>
    <t>Manufacturer</t>
  </si>
  <si>
    <t>Comment</t>
  </si>
  <si>
    <t>Quantity</t>
  </si>
  <si>
    <t xml:space="preserve"> Remarks</t>
  </si>
  <si>
    <t>Capacitor</t>
  </si>
  <si>
    <t>C1, C2</t>
  </si>
  <si>
    <t>CAP CER 0.1UF 100V X7R 0603</t>
  </si>
  <si>
    <t>Cap-0603</t>
  </si>
  <si>
    <t>CC0603KRX7R0BB104</t>
  </si>
  <si>
    <t>Yageo</t>
  </si>
  <si>
    <t>0.1uF</t>
  </si>
  <si>
    <t>Diode</t>
  </si>
  <si>
    <t>D1</t>
  </si>
  <si>
    <t>100V 400mW Single 1.25V@150mA 8ns 300mA SOD-123 Switching Diode ROHS</t>
  </si>
  <si>
    <t>SOD-123</t>
  </si>
  <si>
    <t>1N4148W</t>
  </si>
  <si>
    <t>JSMSEMI</t>
  </si>
  <si>
    <t>FFC/FPC Connector</t>
  </si>
  <si>
    <t>J1</t>
  </si>
  <si>
    <t>CONN FFC BOTTOM 30POS 0.5MM R/A</t>
  </si>
  <si>
    <t>FH12-30S-0.5SH(55)</t>
  </si>
  <si>
    <t>Hirose</t>
  </si>
  <si>
    <t>LED</t>
  </si>
  <si>
    <t>LED1</t>
  </si>
  <si>
    <t>10mA 无色透明透镜 80mcd~220mcd 463nm~475nm -30℃~+85℃ Blue 130° 72mW 2.6V~3.6V 0603 Light Emitting Diodes (LED) ROHS</t>
  </si>
  <si>
    <t>LED-0603</t>
  </si>
  <si>
    <t>NCD0603B1</t>
  </si>
  <si>
    <t>Foshan NationStar Optoelectronics</t>
  </si>
  <si>
    <t>BLUE</t>
  </si>
  <si>
    <t>LED2, LED3, LED4, LED5</t>
  </si>
  <si>
    <t>5mA 200mcd~300mcd 雾状黄透镜 -30℃~+85℃ White 130° 72mW 2.6V~3.6V 0603 Light Emitting Diodes (LED) ROHS</t>
  </si>
  <si>
    <t>NCD0603W1</t>
  </si>
  <si>
    <t>WHITE</t>
  </si>
  <si>
    <t>P10, P11, P14, P15</t>
  </si>
  <si>
    <t>WIREPAD</t>
  </si>
  <si>
    <t>Wirepad</t>
  </si>
  <si>
    <t>MOSFET</t>
  </si>
  <si>
    <t>Q1</t>
  </si>
  <si>
    <t>TO-252 MOSFETs ROHS</t>
  </si>
  <si>
    <t>TO-252-2L</t>
  </si>
  <si>
    <t>FDD4141(UMW)</t>
  </si>
  <si>
    <t>UMW</t>
  </si>
  <si>
    <t>Q2, Q3</t>
  </si>
  <si>
    <t>MOSFET N-CH 60V 320MA SOT23-3</t>
  </si>
  <si>
    <t>SOT-23</t>
  </si>
  <si>
    <t>2N7002KT1G</t>
  </si>
  <si>
    <t>ON Semiconductor</t>
  </si>
  <si>
    <t>Resistor</t>
  </si>
  <si>
    <t>R1, R2, R6, R11</t>
  </si>
  <si>
    <t>RES 100K OHM 5% 1/10W 0603</t>
  </si>
  <si>
    <t>Res-0603</t>
  </si>
  <si>
    <t>RC0603JR-07100KL</t>
  </si>
  <si>
    <t>100K</t>
  </si>
  <si>
    <t>R3, R5, R12, R13</t>
  </si>
  <si>
    <t>RES SMD 4.7K OHM 1% 1/10W 0603</t>
  </si>
  <si>
    <t>RC0603FR-074K7L</t>
  </si>
  <si>
    <t>4.7K</t>
  </si>
  <si>
    <t>R4</t>
  </si>
  <si>
    <t>100mW Thick Film Resistors 75V ±100ppm/℃ ±1% 1kΩ 0603 Chip Resistor - Surface Mount ROHS</t>
  </si>
  <si>
    <t>RC0603FR-071KL</t>
  </si>
  <si>
    <t>1K</t>
  </si>
  <si>
    <t>R7, R8, R9, R10</t>
  </si>
  <si>
    <t>100mW Thick Film Resistors ±100ppm/℃ ±1% 20Ω 0603 Chip Resistor - Surface Mount ROHS</t>
  </si>
  <si>
    <t>0603WAF200JT5E</t>
  </si>
  <si>
    <t>UNI-ROYAL(Uniroyal Elec)</t>
  </si>
  <si>
    <t>20R</t>
  </si>
  <si>
    <t>R14</t>
  </si>
  <si>
    <t>DNP</t>
  </si>
  <si>
    <t>Switch</t>
  </si>
  <si>
    <t>SW1, SW2</t>
  </si>
  <si>
    <t>Switch Tactile N.O. SPST Round Button Gull Wing 0.05A 12VDC 100000Cycles 1.57N SMD</t>
  </si>
  <si>
    <t>TL3340AF160QG</t>
  </si>
  <si>
    <t>E-Switch</t>
  </si>
  <si>
    <t>IC</t>
  </si>
  <si>
    <t>U1</t>
  </si>
  <si>
    <t>IC XPND 400KHZ I2C SMBUS 24HWQFN</t>
  </si>
  <si>
    <t>QFN-24-EP(4x4)</t>
  </si>
  <si>
    <t>PCAL6416AHF,128</t>
  </si>
  <si>
    <t>NXP Semiconductors</t>
  </si>
  <si>
    <t>Header</t>
  </si>
  <si>
    <t>J2</t>
  </si>
  <si>
    <t>HDR 1X7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</si>
</sst>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theme="1"/>
      <name val="Calibri"/>
      <charset val="134"/>
      <scheme val="minor"/>
    </font>
    <font>
      <sz val="10"/>
      <color indexed="13"/>
      <name val="Arial"/>
      <charset val="134"/>
    </font>
    <font>
      <b/>
      <sz val="11"/>
      <color theme="0"/>
      <name val="Calibri"/>
      <charset val="134"/>
      <scheme val="minor"/>
    </font>
    <font>
      <b/>
      <sz val="10"/>
      <color theme="0"/>
      <name val="Calibri"/>
      <charset val="134"/>
      <scheme val="minor"/>
    </font>
    <font>
      <b/>
      <sz val="10"/>
      <name val="Calibri"/>
      <charset val="134"/>
      <scheme val="minor"/>
    </font>
    <font>
      <sz val="9"/>
      <name val="Calibri"/>
      <charset val="134"/>
      <scheme val="minor"/>
    </font>
    <font>
      <sz val="10"/>
      <name val="Calibri"/>
      <charset val="134"/>
      <scheme val="minor"/>
    </font>
    <font>
      <sz val="10"/>
      <color theme="0"/>
      <name val="Calibri"/>
      <charset val="134"/>
      <scheme val="minor"/>
    </font>
    <font>
      <sz val="9"/>
      <name val="Calibri"/>
      <family val="2"/>
      <scheme val="minor"/>
    </font>
    <font>
      <b/>
      <sz val="10"/>
      <color rgb="FFFF0000"/>
      <name val="Calibri"/>
      <family val="2"/>
      <scheme val="minor"/>
    </font>
    <font>
      <b/>
      <sz val="9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03A4CB"/>
        <bgColor indexed="64"/>
      </patternFill>
    </fill>
  </fills>
  <borders count="14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medium">
        <color auto="1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0" fillId="0" borderId="0" xfId="0" applyAlignment="1">
      <alignment horizontal="center"/>
    </xf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1" fillId="2" borderId="1" xfId="0" applyFont="1" applyFill="1" applyBorder="1"/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3" fillId="4" borderId="8" xfId="0" applyFont="1" applyFill="1" applyBorder="1" applyAlignment="1" applyProtection="1">
      <alignment horizontal="center" vertical="center"/>
      <protection locked="0"/>
    </xf>
    <xf numFmtId="0" fontId="3" fillId="4" borderId="9" xfId="0" applyFont="1" applyFill="1" applyBorder="1" applyAlignment="1" applyProtection="1">
      <alignment horizontal="center" vertical="center"/>
      <protection locked="0"/>
    </xf>
    <xf numFmtId="0" fontId="3" fillId="4" borderId="9" xfId="0" applyFont="1" applyFill="1" applyBorder="1" applyAlignment="1" applyProtection="1">
      <alignment vertical="center"/>
      <protection locked="0"/>
    </xf>
    <xf numFmtId="0" fontId="6" fillId="4" borderId="9" xfId="0" applyFont="1" applyFill="1" applyBorder="1" applyAlignment="1" applyProtection="1">
      <alignment horizontal="left" vertical="center"/>
      <protection locked="0"/>
    </xf>
    <xf numFmtId="0" fontId="0" fillId="4" borderId="9" xfId="0" applyFill="1" applyBorder="1" applyAlignment="1">
      <alignment vertical="center"/>
    </xf>
    <xf numFmtId="0" fontId="0" fillId="4" borderId="9" xfId="0" applyFill="1" applyBorder="1"/>
    <xf numFmtId="0" fontId="7" fillId="4" borderId="10" xfId="0" applyFont="1" applyFill="1" applyBorder="1" applyAlignment="1" applyProtection="1">
      <alignment horizontal="center" vertical="top"/>
      <protection locked="0"/>
    </xf>
    <xf numFmtId="0" fontId="7" fillId="4" borderId="11" xfId="0" applyFont="1" applyFill="1" applyBorder="1" applyAlignment="1" applyProtection="1">
      <alignment horizontal="center" vertical="top"/>
      <protection locked="0"/>
    </xf>
    <xf numFmtId="0" fontId="3" fillId="4" borderId="11" xfId="0" applyFont="1" applyFill="1" applyBorder="1" applyAlignment="1" applyProtection="1">
      <alignment horizontal="left" vertical="top"/>
      <protection locked="0"/>
    </xf>
    <xf numFmtId="0" fontId="6" fillId="4" borderId="11" xfId="0" applyFont="1" applyFill="1" applyBorder="1" applyAlignment="1" applyProtection="1">
      <alignment horizontal="left" vertical="top"/>
      <protection locked="0"/>
    </xf>
    <xf numFmtId="0" fontId="0" fillId="4" borderId="12" xfId="0" applyFill="1" applyBorder="1"/>
    <xf numFmtId="0" fontId="6" fillId="4" borderId="13" xfId="0" applyFont="1" applyFill="1" applyBorder="1" applyAlignment="1" applyProtection="1">
      <alignment horizontal="left" vertical="top"/>
      <protection locked="0"/>
    </xf>
    <xf numFmtId="0" fontId="8" fillId="2" borderId="6" xfId="0" applyFont="1" applyFill="1" applyBorder="1" applyAlignment="1">
      <alignment horizontal="center" vertical="center" wrapText="1"/>
    </xf>
    <xf numFmtId="0" fontId="9" fillId="2" borderId="6" xfId="0" applyFont="1" applyFill="1" applyBorder="1" applyAlignment="1">
      <alignment horizontal="center" vertical="center" wrapText="1"/>
    </xf>
    <xf numFmtId="0" fontId="10" fillId="2" borderId="6" xfId="0" applyFont="1" applyFill="1" applyBorder="1" applyAlignment="1">
      <alignment horizontal="center" vertical="center" wrapText="1"/>
    </xf>
    <xf numFmtId="0" fontId="10" fillId="2" borderId="7" xfId="0" applyFont="1" applyFill="1" applyBorder="1" applyAlignment="1">
      <alignment horizontal="center" vertical="center" wrapText="1"/>
    </xf>
    <xf numFmtId="0" fontId="9" fillId="2" borderId="4" xfId="0" applyFont="1" applyFill="1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5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20"/>
  <sheetViews>
    <sheetView tabSelected="1" workbookViewId="0">
      <selection activeCell="G27" sqref="G27"/>
    </sheetView>
  </sheetViews>
  <sheetFormatPr defaultColWidth="9" defaultRowHeight="15"/>
  <cols>
    <col min="2" max="2" width="3.140625" style="1" customWidth="1"/>
    <col min="3" max="3" width="18.7109375" style="1" customWidth="1"/>
    <col min="4" max="4" width="18.140625" bestFit="1" customWidth="1"/>
    <col min="5" max="5" width="30" customWidth="1"/>
    <col min="6" max="6" width="26.5703125" customWidth="1"/>
    <col min="7" max="7" width="33.42578125" customWidth="1"/>
    <col min="8" max="8" width="21.42578125" customWidth="1"/>
    <col min="9" max="9" width="17.85546875" customWidth="1"/>
    <col min="10" max="10" width="16.7109375" customWidth="1"/>
    <col min="11" max="11" width="29.42578125" customWidth="1"/>
  </cols>
  <sheetData>
    <row r="1" spans="1:11">
      <c r="A1" s="2"/>
      <c r="B1" s="3"/>
      <c r="C1" s="3"/>
      <c r="D1" s="4"/>
      <c r="E1" s="4"/>
      <c r="F1" s="4"/>
      <c r="G1" s="4"/>
      <c r="H1" s="4"/>
      <c r="I1" s="33"/>
      <c r="J1" s="33"/>
      <c r="K1" s="33"/>
    </row>
    <row r="2" spans="1:11">
      <c r="A2" s="2"/>
      <c r="B2" s="5" t="s">
        <v>0</v>
      </c>
      <c r="C2" s="5" t="s">
        <v>1</v>
      </c>
      <c r="D2" s="5" t="s">
        <v>2</v>
      </c>
      <c r="E2" s="6" t="s">
        <v>3</v>
      </c>
      <c r="F2" s="5" t="s">
        <v>4</v>
      </c>
      <c r="G2" s="6" t="s">
        <v>5</v>
      </c>
      <c r="H2" s="5" t="s">
        <v>6</v>
      </c>
      <c r="I2" s="6" t="s">
        <v>7</v>
      </c>
      <c r="J2" s="5" t="s">
        <v>8</v>
      </c>
      <c r="K2" s="5" t="s">
        <v>9</v>
      </c>
    </row>
    <row r="3" spans="1:11">
      <c r="A3" s="2"/>
      <c r="B3" s="7">
        <f t="shared" ref="B3:B18" si="0">ROW(B3)-ROW($B$2)</f>
        <v>1</v>
      </c>
      <c r="C3" s="8" t="s">
        <v>10</v>
      </c>
      <c r="D3" s="9" t="s">
        <v>11</v>
      </c>
      <c r="E3" s="10" t="s">
        <v>12</v>
      </c>
      <c r="F3" s="9" t="s">
        <v>13</v>
      </c>
      <c r="G3" s="10" t="s">
        <v>14</v>
      </c>
      <c r="H3" s="9" t="s">
        <v>15</v>
      </c>
      <c r="I3" s="10" t="s">
        <v>16</v>
      </c>
      <c r="J3" s="9">
        <v>2</v>
      </c>
      <c r="K3" s="9"/>
    </row>
    <row r="4" spans="1:11" ht="36">
      <c r="A4" s="2"/>
      <c r="B4" s="7">
        <f t="shared" si="0"/>
        <v>2</v>
      </c>
      <c r="C4" s="11" t="s">
        <v>17</v>
      </c>
      <c r="D4" s="12" t="s">
        <v>18</v>
      </c>
      <c r="E4" s="13" t="s">
        <v>19</v>
      </c>
      <c r="F4" s="12" t="s">
        <v>20</v>
      </c>
      <c r="G4" s="13" t="s">
        <v>21</v>
      </c>
      <c r="H4" s="12" t="s">
        <v>22</v>
      </c>
      <c r="I4" s="13" t="s">
        <v>21</v>
      </c>
      <c r="J4" s="12">
        <v>1</v>
      </c>
      <c r="K4" s="12"/>
    </row>
    <row r="5" spans="1:11">
      <c r="A5" s="2"/>
      <c r="B5" s="7">
        <f t="shared" si="0"/>
        <v>3</v>
      </c>
      <c r="C5" s="8" t="s">
        <v>23</v>
      </c>
      <c r="D5" s="9" t="s">
        <v>24</v>
      </c>
      <c r="E5" s="10" t="s">
        <v>25</v>
      </c>
      <c r="F5" s="9" t="s">
        <v>26</v>
      </c>
      <c r="G5" s="10" t="s">
        <v>26</v>
      </c>
      <c r="H5" s="9" t="s">
        <v>27</v>
      </c>
      <c r="I5" s="10" t="s">
        <v>26</v>
      </c>
      <c r="J5" s="9">
        <v>1</v>
      </c>
      <c r="K5" s="9"/>
    </row>
    <row r="6" spans="1:11">
      <c r="A6" s="2"/>
      <c r="B6" s="7">
        <v>4</v>
      </c>
      <c r="C6" s="27" t="s">
        <v>85</v>
      </c>
      <c r="D6" s="28" t="s">
        <v>86</v>
      </c>
      <c r="E6" s="29" t="s">
        <v>73</v>
      </c>
      <c r="F6" s="28" t="s">
        <v>87</v>
      </c>
      <c r="G6" s="29"/>
      <c r="H6" s="28"/>
      <c r="I6" s="29" t="s">
        <v>73</v>
      </c>
      <c r="J6" s="28">
        <v>1</v>
      </c>
      <c r="K6" s="26"/>
    </row>
    <row r="7" spans="1:11" ht="48">
      <c r="A7" s="2"/>
      <c r="B7" s="7">
        <f t="shared" si="0"/>
        <v>5</v>
      </c>
      <c r="C7" s="11" t="s">
        <v>28</v>
      </c>
      <c r="D7" s="12" t="s">
        <v>29</v>
      </c>
      <c r="E7" s="13" t="s">
        <v>30</v>
      </c>
      <c r="F7" s="12" t="s">
        <v>31</v>
      </c>
      <c r="G7" s="13" t="s">
        <v>32</v>
      </c>
      <c r="H7" s="12" t="s">
        <v>33</v>
      </c>
      <c r="I7" s="13" t="s">
        <v>34</v>
      </c>
      <c r="J7" s="12">
        <v>1</v>
      </c>
      <c r="K7" s="12"/>
    </row>
    <row r="8" spans="1:11" ht="48">
      <c r="A8" s="2"/>
      <c r="B8" s="7">
        <f t="shared" si="0"/>
        <v>6</v>
      </c>
      <c r="C8" s="8" t="s">
        <v>28</v>
      </c>
      <c r="D8" s="9" t="s">
        <v>35</v>
      </c>
      <c r="E8" s="10" t="s">
        <v>36</v>
      </c>
      <c r="F8" s="9" t="s">
        <v>31</v>
      </c>
      <c r="G8" s="10" t="s">
        <v>37</v>
      </c>
      <c r="H8" s="9" t="s">
        <v>33</v>
      </c>
      <c r="I8" s="10" t="s">
        <v>38</v>
      </c>
      <c r="J8" s="9">
        <v>4</v>
      </c>
      <c r="K8" s="9"/>
    </row>
    <row r="9" spans="1:11">
      <c r="A9" s="2"/>
      <c r="B9" s="7">
        <f t="shared" si="0"/>
        <v>7</v>
      </c>
      <c r="C9" s="11"/>
      <c r="D9" s="12" t="s">
        <v>39</v>
      </c>
      <c r="E9" s="13"/>
      <c r="F9" s="12" t="s">
        <v>40</v>
      </c>
      <c r="G9" s="13"/>
      <c r="H9" s="12"/>
      <c r="I9" s="13" t="s">
        <v>41</v>
      </c>
      <c r="J9" s="12">
        <v>4</v>
      </c>
      <c r="K9" s="12"/>
    </row>
    <row r="10" spans="1:11">
      <c r="A10" s="2"/>
      <c r="B10" s="7">
        <f t="shared" si="0"/>
        <v>8</v>
      </c>
      <c r="C10" s="8" t="s">
        <v>42</v>
      </c>
      <c r="D10" s="9" t="s">
        <v>43</v>
      </c>
      <c r="E10" s="10" t="s">
        <v>44</v>
      </c>
      <c r="F10" s="9" t="s">
        <v>45</v>
      </c>
      <c r="G10" s="10" t="s">
        <v>46</v>
      </c>
      <c r="H10" s="9" t="s">
        <v>47</v>
      </c>
      <c r="I10" s="10" t="s">
        <v>46</v>
      </c>
      <c r="J10" s="9">
        <v>1</v>
      </c>
      <c r="K10" s="9"/>
    </row>
    <row r="11" spans="1:11">
      <c r="A11" s="2"/>
      <c r="B11" s="7">
        <f t="shared" si="0"/>
        <v>9</v>
      </c>
      <c r="C11" s="11" t="s">
        <v>42</v>
      </c>
      <c r="D11" s="12" t="s">
        <v>48</v>
      </c>
      <c r="E11" s="13" t="s">
        <v>49</v>
      </c>
      <c r="F11" s="12" t="s">
        <v>50</v>
      </c>
      <c r="G11" s="13" t="s">
        <v>51</v>
      </c>
      <c r="H11" s="12" t="s">
        <v>52</v>
      </c>
      <c r="I11" s="13" t="s">
        <v>51</v>
      </c>
      <c r="J11" s="12">
        <v>2</v>
      </c>
      <c r="K11" s="12"/>
    </row>
    <row r="12" spans="1:11">
      <c r="A12" s="2"/>
      <c r="B12" s="7">
        <f t="shared" si="0"/>
        <v>10</v>
      </c>
      <c r="C12" s="8" t="s">
        <v>53</v>
      </c>
      <c r="D12" s="9" t="s">
        <v>54</v>
      </c>
      <c r="E12" s="10" t="s">
        <v>55</v>
      </c>
      <c r="F12" s="9" t="s">
        <v>56</v>
      </c>
      <c r="G12" s="10" t="s">
        <v>57</v>
      </c>
      <c r="H12" s="9" t="s">
        <v>15</v>
      </c>
      <c r="I12" s="10" t="s">
        <v>58</v>
      </c>
      <c r="J12" s="9">
        <v>4</v>
      </c>
      <c r="K12" s="9"/>
    </row>
    <row r="13" spans="1:11">
      <c r="A13" s="2"/>
      <c r="B13" s="7">
        <f t="shared" si="0"/>
        <v>11</v>
      </c>
      <c r="C13" s="11" t="s">
        <v>53</v>
      </c>
      <c r="D13" s="12" t="s">
        <v>59</v>
      </c>
      <c r="E13" s="13" t="s">
        <v>60</v>
      </c>
      <c r="F13" s="12" t="s">
        <v>56</v>
      </c>
      <c r="G13" s="13" t="s">
        <v>61</v>
      </c>
      <c r="H13" s="12" t="s">
        <v>15</v>
      </c>
      <c r="I13" s="13" t="s">
        <v>62</v>
      </c>
      <c r="J13" s="12">
        <v>4</v>
      </c>
      <c r="K13" s="12"/>
    </row>
    <row r="14" spans="1:11" ht="36">
      <c r="A14" s="2"/>
      <c r="B14" s="7">
        <f t="shared" si="0"/>
        <v>12</v>
      </c>
      <c r="C14" s="11" t="s">
        <v>53</v>
      </c>
      <c r="D14" s="9" t="s">
        <v>63</v>
      </c>
      <c r="E14" s="10" t="s">
        <v>64</v>
      </c>
      <c r="F14" s="9" t="s">
        <v>56</v>
      </c>
      <c r="G14" s="10" t="s">
        <v>65</v>
      </c>
      <c r="H14" s="12" t="s">
        <v>15</v>
      </c>
      <c r="I14" s="10" t="s">
        <v>66</v>
      </c>
      <c r="J14" s="9">
        <v>1</v>
      </c>
      <c r="K14" s="9"/>
    </row>
    <row r="15" spans="1:11" ht="36">
      <c r="A15" s="2"/>
      <c r="B15" s="7">
        <f t="shared" si="0"/>
        <v>13</v>
      </c>
      <c r="C15" s="11" t="s">
        <v>53</v>
      </c>
      <c r="D15" s="12" t="s">
        <v>67</v>
      </c>
      <c r="E15" s="13" t="s">
        <v>68</v>
      </c>
      <c r="F15" s="12" t="s">
        <v>56</v>
      </c>
      <c r="G15" s="13" t="s">
        <v>69</v>
      </c>
      <c r="H15" s="12" t="s">
        <v>70</v>
      </c>
      <c r="I15" s="13" t="s">
        <v>71</v>
      </c>
      <c r="J15" s="12">
        <v>4</v>
      </c>
      <c r="K15" s="12"/>
    </row>
    <row r="16" spans="1:11">
      <c r="A16" s="2"/>
      <c r="B16" s="7">
        <f t="shared" si="0"/>
        <v>14</v>
      </c>
      <c r="C16" s="30" t="s">
        <v>53</v>
      </c>
      <c r="D16" s="31" t="s">
        <v>72</v>
      </c>
      <c r="E16" s="32" t="s">
        <v>73</v>
      </c>
      <c r="F16" s="31" t="s">
        <v>56</v>
      </c>
      <c r="G16" s="32"/>
      <c r="H16" s="31"/>
      <c r="I16" s="32" t="s">
        <v>73</v>
      </c>
      <c r="J16" s="31">
        <v>1</v>
      </c>
      <c r="K16" s="9"/>
    </row>
    <row r="17" spans="1:11" ht="36">
      <c r="A17" s="2"/>
      <c r="B17" s="7">
        <f t="shared" si="0"/>
        <v>15</v>
      </c>
      <c r="C17" s="8" t="s">
        <v>74</v>
      </c>
      <c r="D17" s="12" t="s">
        <v>75</v>
      </c>
      <c r="E17" s="13" t="s">
        <v>76</v>
      </c>
      <c r="F17" s="12" t="s">
        <v>77</v>
      </c>
      <c r="G17" s="13" t="s">
        <v>77</v>
      </c>
      <c r="H17" s="12" t="s">
        <v>78</v>
      </c>
      <c r="I17" s="13" t="s">
        <v>77</v>
      </c>
      <c r="J17" s="12">
        <v>2</v>
      </c>
      <c r="K17" s="12"/>
    </row>
    <row r="18" spans="1:11">
      <c r="A18" s="2"/>
      <c r="B18" s="7">
        <f t="shared" si="0"/>
        <v>16</v>
      </c>
      <c r="C18" s="8" t="s">
        <v>79</v>
      </c>
      <c r="D18" s="9" t="s">
        <v>80</v>
      </c>
      <c r="E18" s="10" t="s">
        <v>81</v>
      </c>
      <c r="F18" s="9" t="s">
        <v>82</v>
      </c>
      <c r="G18" s="10" t="s">
        <v>83</v>
      </c>
      <c r="H18" s="9" t="s">
        <v>84</v>
      </c>
      <c r="I18" s="10" t="s">
        <v>83</v>
      </c>
      <c r="J18" s="9">
        <v>1</v>
      </c>
      <c r="K18" s="9"/>
    </row>
    <row r="19" spans="1:11">
      <c r="A19" s="2"/>
      <c r="B19" s="14"/>
      <c r="C19" s="15"/>
      <c r="D19" s="16"/>
      <c r="E19" s="17"/>
      <c r="F19" s="18"/>
      <c r="G19" s="19"/>
      <c r="H19" s="18"/>
      <c r="I19" s="19"/>
      <c r="J19" s="19"/>
      <c r="K19" s="24"/>
    </row>
    <row r="20" spans="1:11">
      <c r="A20" s="2"/>
      <c r="B20" s="20"/>
      <c r="C20" s="21"/>
      <c r="D20" s="22"/>
      <c r="E20" s="23"/>
      <c r="F20" s="23"/>
      <c r="G20" s="23"/>
      <c r="H20" s="23"/>
      <c r="I20" s="23"/>
      <c r="J20" s="23"/>
      <c r="K20" s="25"/>
    </row>
  </sheetData>
  <mergeCells count="1">
    <mergeCell ref="I1:K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LiberDB</cp:lastModifiedBy>
  <dcterms:created xsi:type="dcterms:W3CDTF">2019-12-12T10:34:00Z</dcterms:created>
  <dcterms:modified xsi:type="dcterms:W3CDTF">2024-03-05T16:30:41Z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D9C0C85EA3584D43A0FDA36A2B409026_13</vt:lpwstr>
  </property>
  <property fmtid="{D5CDD505-2E9C-101B-9397-08002B2CF9AE}" pid="3" name="KSOProductBuildVer">
    <vt:lpwstr>1033-12.2.0.13431</vt:lpwstr>
  </property>
</Properties>
</file>
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C:\Users\Iftikhar Ahmed\OneDrive\Desktop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41" i="1" l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<sst xmlns="http://schemas.openxmlformats.org/spreadsheetml/2006/main" count="280" uniqueCount="196">
  <si>
    <t>#</t>
  </si>
  <si>
    <t>Item Type</t>
  </si>
  <si>
    <t>Capacitor</t>
  </si>
  <si>
    <t>Diode</t>
  </si>
  <si>
    <t>FFC/FPC Connector</t>
  </si>
  <si>
    <t>Connector</t>
  </si>
  <si>
    <t>Test Point</t>
  </si>
  <si>
    <t>LED</t>
  </si>
  <si>
    <t>TEST POINT</t>
  </si>
  <si>
    <t>SOT-23</t>
  </si>
  <si>
    <t>Resistor</t>
  </si>
  <si>
    <t>SWITCH</t>
  </si>
  <si>
    <t>IC</t>
  </si>
  <si>
    <t>Module</t>
  </si>
  <si>
    <t>Crystal</t>
  </si>
  <si>
    <t>Designator</t>
  </si>
  <si>
    <t>C1, C5, C8, C10, C18, C19, C20, C21, C22, C23, C24, C25, C26, C33, C36</t>
  </si>
  <si>
    <t>C2</t>
  </si>
  <si>
    <t>C3, C4, C6, C7</t>
  </si>
  <si>
    <t>C11, C12, C13, C14, C15, C16</t>
  </si>
  <si>
    <t>C17, C29, C30, C31, C32</t>
  </si>
  <si>
    <t>C27, C28, C34, C35</t>
  </si>
  <si>
    <t>C37, C38</t>
  </si>
  <si>
    <t>D1, D4, D5, D6, D7</t>
  </si>
  <si>
    <t>D2, D3</t>
  </si>
  <si>
    <t>J1</t>
  </si>
  <si>
    <t>J2</t>
  </si>
  <si>
    <t>J3</t>
  </si>
  <si>
    <t>J4, J5, J6, J7</t>
  </si>
  <si>
    <t>L1</t>
  </si>
  <si>
    <t>L2</t>
  </si>
  <si>
    <t>LED1, LED2, LED3</t>
  </si>
  <si>
    <t>LED4</t>
  </si>
  <si>
    <t>P1, P2, P3, P4, P5, P6, P7, P8, P9, P10, P11, P12, P13, P14, P15, P16, P17, P18, P19, P24, P25, P26, P27, P28, P29, P30, P31, P32, P33, P34, P35, P36, P37, P38, P39</t>
  </si>
  <si>
    <t>Q1, Q2</t>
  </si>
  <si>
    <t>Q3, Q4</t>
  </si>
  <si>
    <t>R1, R4, R16, R17, R23</t>
  </si>
  <si>
    <t>R2, R7, R8, R9, R11, R14, R15</t>
  </si>
  <si>
    <t>R3</t>
  </si>
  <si>
    <t>R5, R6, R21</t>
  </si>
  <si>
    <t>R10</t>
  </si>
  <si>
    <t>R12, R13</t>
  </si>
  <si>
    <t>R18, R20</t>
  </si>
  <si>
    <t>R19, R22, R24</t>
  </si>
  <si>
    <t>R25</t>
  </si>
  <si>
    <t>R26, R27, R28</t>
  </si>
  <si>
    <t>SW1, SW2</t>
  </si>
  <si>
    <t>U1</t>
  </si>
  <si>
    <t>U2</t>
  </si>
  <si>
    <t>U3</t>
  </si>
  <si>
    <t>U4</t>
  </si>
  <si>
    <t>U5</t>
  </si>
  <si>
    <t>U6</t>
  </si>
  <si>
    <t>X1</t>
  </si>
  <si>
    <t>X3</t>
  </si>
  <si>
    <t>Description</t>
  </si>
  <si>
    <t>CAP CER 0.1UF 50V X7R 0603</t>
  </si>
  <si>
    <t>CAP CER 4.7UF 25V X5R 0603</t>
  </si>
  <si>
    <t>CAP CER 10UF 25V X5R 0603</t>
  </si>
  <si>
    <t>CAP CER 22UF 10V X5R 0603</t>
  </si>
  <si>
    <t>CAP CER 2.2UF 25V X5R 0603</t>
  </si>
  <si>
    <t>CAP CER 10PF 50V C0G/NPO 0603</t>
  </si>
  <si>
    <t>CAP CER 1UF 25V X5R 0603</t>
  </si>
  <si>
    <t>75V 200mW Single 1.25V@150mA 4ns 150mA SOD-323 Switching Diode ROHS</t>
  </si>
  <si>
    <t>DIODE GEN PURP 100V 200MA SOD123</t>
  </si>
  <si>
    <t>CONN FFC BOTTOM 30POS 0.5MM R/A</t>
  </si>
  <si>
    <t>CONN 0.635MM HDR 30POS SMD</t>
  </si>
  <si>
    <t>CONN HDR 60POS SMD GOLD</t>
  </si>
  <si>
    <t>-</t>
  </si>
  <si>
    <t>Power Inductors - SMD 1.5uH +/-20% @0A AEC-Q200</t>
  </si>
  <si>
    <t>FIXED IND 3.3UH 2.63A 150MOHM SM</t>
  </si>
  <si>
    <t>Emerald 0603 Light Emitting Diodes (LED) ROHS</t>
  </si>
  <si>
    <t>RED LED 0603 Light Emitting Diodes</t>
  </si>
  <si>
    <t>Test Point ON</t>
  </si>
  <si>
    <t>null 3A 400mW 112mΩ@4.5V,2.8A 1V@250uA P Channel SOT-23 MOSFETs ROHS</t>
  </si>
  <si>
    <t>MOSFET N-CH 60V 300MA TO236AB</t>
  </si>
  <si>
    <t>RES SMD 200 OHM 0.5% 1/10W 0603</t>
  </si>
  <si>
    <t>RES 100K OHM 5% 1/10W 0603</t>
  </si>
  <si>
    <t>RES 33.2K OHM 1% 1/10W 0603</t>
  </si>
  <si>
    <t>RES SMD 10K OHM 0.1% 1/10W 0603</t>
  </si>
  <si>
    <t>RES SMD 10K OHM 1% 1/20W 0201</t>
  </si>
  <si>
    <t>RES SMD 4.7K OHM 5% 1/10W 0603</t>
  </si>
  <si>
    <t>RES 27 OHM 1% 1/10W 0603</t>
  </si>
  <si>
    <t>RES SMD 1K OHM 0.5% 1/10W 0603</t>
  </si>
  <si>
    <t>12kΩ 0603 Chip Resistor - Surface Mount ROHS</t>
  </si>
  <si>
    <t>RES 50K OHM 0.1% 1/10W 0603</t>
  </si>
  <si>
    <t>SWITCH TACTILE SPST-NO 0.05A 12V</t>
  </si>
  <si>
    <t>IC REG BUCK ADJ 3A TSOT23-6</t>
  </si>
  <si>
    <t>Step-down type Fixed 5V 5V~23V 6A QFN-16(3x3) DC-DC Converters ROHS</t>
  </si>
  <si>
    <t>Rectifier Diode, 1 Phase, 1 Element, 2A, 400V V(RRM), Silicon, DO-15</t>
  </si>
  <si>
    <t>IC FLASH 16MBIT SPI/QUAD 8USON</t>
  </si>
  <si>
    <t>Hub Controller USB QFN-24-EP(4x4) USB ICs ROHS</t>
  </si>
  <si>
    <t>Intelligent WiFiI Module 1200M Dual Band+AC (High Power)</t>
  </si>
  <si>
    <t>Crystal, 12Mhz, 10Pf, 3.2Mm X 2.5Mm Frequency Nom 12Mhz Crystal Case Smd Rohs</t>
  </si>
  <si>
    <t>Crystal, 24Mhz, 12Pf, 3.2Mm X 2.5Mm</t>
  </si>
  <si>
    <t>Footprint</t>
  </si>
  <si>
    <t>Cap-0603</t>
  </si>
  <si>
    <t>CAP-0603</t>
  </si>
  <si>
    <t>SOD-323</t>
  </si>
  <si>
    <t>SOD-123</t>
  </si>
  <si>
    <t>FH12-30S-0.5SH(55)</t>
  </si>
  <si>
    <t>ADM6-30-01.5-L-4-2-A-TR</t>
  </si>
  <si>
    <t>QTH-030-02-L-D-A-K</t>
  </si>
  <si>
    <t>HA72L-06301R5LFTR</t>
  </si>
  <si>
    <t>VLS3012HBX-3R3M</t>
  </si>
  <si>
    <t>LED-0603</t>
  </si>
  <si>
    <t>TO-236AB</t>
  </si>
  <si>
    <t>Res-0603</t>
  </si>
  <si>
    <t>Res-0201</t>
  </si>
  <si>
    <t>EVQ-P7J01P</t>
  </si>
  <si>
    <t>SOT-23-6 THIN</t>
  </si>
  <si>
    <t>QFN-16(3x3) RT7291AGQUF</t>
  </si>
  <si>
    <t>QFN-56 (7x7)</t>
  </si>
  <si>
    <t>8-USON (2x3)</t>
  </si>
  <si>
    <t>24-QFN (4x4)</t>
  </si>
  <si>
    <t>BL-R8812AF1</t>
  </si>
  <si>
    <t>MCSJK-7U-12.00-10-10-80-B-10</t>
  </si>
  <si>
    <t>MCSJK-7U-24.00-12-10-60-B-10</t>
  </si>
  <si>
    <t>Manufacturer Part Number</t>
  </si>
  <si>
    <t>CL10B104KB8NNNC</t>
  </si>
  <si>
    <t>CL10A475KA8NQNC</t>
  </si>
  <si>
    <t>GRM188R61E106KA73D</t>
  </si>
  <si>
    <t>CC0603MRX5R6BB226</t>
  </si>
  <si>
    <t>CC0603KRX5R8BB225</t>
  </si>
  <si>
    <t>CC0603JRNPO9BN100</t>
  </si>
  <si>
    <t>CC0603KRX5R8BB105</t>
  </si>
  <si>
    <t>1N4148WS</t>
  </si>
  <si>
    <t>MMSD4148T1G</t>
  </si>
  <si>
    <t>Th Hole Test Point</t>
  </si>
  <si>
    <t>NCD0603G2</t>
  </si>
  <si>
    <t>NCD0603R3</t>
  </si>
  <si>
    <t>SI2301CDS</t>
  </si>
  <si>
    <t>2N7002,215</t>
  </si>
  <si>
    <t>RT0603DRD07200RL</t>
  </si>
  <si>
    <t>RC0603JR-07100KL</t>
  </si>
  <si>
    <t>RC0603FR-0733K2L</t>
  </si>
  <si>
    <t>RT0603BRD0710KL</t>
  </si>
  <si>
    <t>RC0201FR-0710KL</t>
  </si>
  <si>
    <t>RC0603JR-074K7L</t>
  </si>
  <si>
    <t>RC0603FR-0727RL</t>
  </si>
  <si>
    <t>RT0603DRD071KL</t>
  </si>
  <si>
    <t>RTT031202BTP</t>
  </si>
  <si>
    <t>RT0603BRD0750KL</t>
  </si>
  <si>
    <t>TPS563201DDCR</t>
  </si>
  <si>
    <t>RT7291AGQUF</t>
  </si>
  <si>
    <t>RP2040TR7</t>
  </si>
  <si>
    <t>W25Q16JVUXIQ TR</t>
  </si>
  <si>
    <t>USB2422/MJ</t>
  </si>
  <si>
    <t>Manufacturer</t>
  </si>
  <si>
    <t>Samsung</t>
  </si>
  <si>
    <t>Murata</t>
  </si>
  <si>
    <t>Yageo</t>
  </si>
  <si>
    <t>Guangdong Hottech</t>
  </si>
  <si>
    <t>ON Semiconductor</t>
  </si>
  <si>
    <t>Hirose</t>
  </si>
  <si>
    <t>Samtec</t>
  </si>
  <si>
    <t>TT BI</t>
  </si>
  <si>
    <t>TDK</t>
  </si>
  <si>
    <t>Foshan NationStar Optoelectronics</t>
  </si>
  <si>
    <t>FUXINSEMI</t>
  </si>
  <si>
    <t>Nexperia USA</t>
  </si>
  <si>
    <t>RALEC</t>
  </si>
  <si>
    <t>Panasonic</t>
  </si>
  <si>
    <t>Texas Instruments</t>
  </si>
  <si>
    <t>Richtek</t>
  </si>
  <si>
    <t>Raspberry Pi</t>
  </si>
  <si>
    <t>Winbond</t>
  </si>
  <si>
    <t>Microchip</t>
  </si>
  <si>
    <t>Multicomp</t>
  </si>
  <si>
    <t>0.1uF</t>
  </si>
  <si>
    <t>4.7UF</t>
  </si>
  <si>
    <t>10uF</t>
  </si>
  <si>
    <t>22uF</t>
  </si>
  <si>
    <t>2.2uF</t>
  </si>
  <si>
    <t>10pF</t>
  </si>
  <si>
    <t>1uF</t>
  </si>
  <si>
    <t>1.5uH</t>
  </si>
  <si>
    <t>3.3uH</t>
  </si>
  <si>
    <t>200R</t>
  </si>
  <si>
    <t>100K</t>
  </si>
  <si>
    <t>33.2K</t>
  </si>
  <si>
    <t>10K</t>
  </si>
  <si>
    <t>4.7K</t>
  </si>
  <si>
    <t>27R</t>
  </si>
  <si>
    <t>1K</t>
  </si>
  <si>
    <t>12K</t>
  </si>
  <si>
    <t>50K</t>
  </si>
  <si>
    <t>12MHz</t>
  </si>
  <si>
    <t>24MHz</t>
  </si>
  <si>
    <t>Quantity</t>
  </si>
  <si>
    <t>Value</t>
  </si>
  <si>
    <t>Inductor</t>
  </si>
  <si>
    <t>Mosfet</t>
  </si>
  <si>
    <t>Custom</t>
  </si>
  <si>
    <t>Ind-200</t>
  </si>
  <si>
    <t>Ind-150MOHM 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</si>
</sst>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3A4CB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2" fillId="3" borderId="2" xfId="0" applyFont="1" applyFill="1" applyBorder="1" applyAlignment="1" applyProtection="1">
      <alignment horizontal="left" vertical="top"/>
      <protection locked="0"/>
    </xf>
    <xf numFmtId="0" fontId="3" fillId="3" borderId="2" xfId="0" applyFont="1" applyFill="1" applyBorder="1" applyAlignment="1" applyProtection="1">
      <alignment horizontal="left" vertical="top"/>
      <protection locked="0"/>
    </xf>
    <xf numFmtId="0" fontId="1" fillId="2" borderId="0" xfId="0" applyFont="1" applyFill="1" applyAlignment="1">
      <alignment horizontal="center"/>
    </xf>
    <xf numFmtId="0" fontId="4" fillId="3" borderId="4" xfId="0" applyFont="1" applyFill="1" applyBorder="1" applyAlignment="1" applyProtection="1">
      <alignment horizontal="center" vertical="top"/>
      <protection locked="0"/>
    </xf>
    <xf numFmtId="0" fontId="0" fillId="0" borderId="0" xfId="0" applyAlignment="1">
      <alignment horizontal="center"/>
    </xf>
    <xf numFmtId="0" fontId="5" fillId="4" borderId="5" xfId="0" applyFont="1" applyFill="1" applyBorder="1" applyAlignment="1">
      <alignment horizontal="center" vertical="center"/>
    </xf>
    <xf numFmtId="0" fontId="4" fillId="3" borderId="2" xfId="0" applyFont="1" applyFill="1" applyBorder="1" applyAlignment="1" applyProtection="1">
      <alignment horizontal="center" vertical="top"/>
      <protection locked="0"/>
    </xf>
    <xf numFmtId="0" fontId="6" fillId="2" borderId="6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horizontal="center" vertical="center"/>
      <protection locked="0"/>
    </xf>
    <xf numFmtId="0" fontId="2" fillId="3" borderId="0" xfId="0" applyFont="1" applyFill="1" applyAlignment="1" applyProtection="1">
      <alignment vertical="center"/>
      <protection locked="0"/>
    </xf>
    <xf numFmtId="0" fontId="3" fillId="3" borderId="0" xfId="0" applyFont="1" applyFill="1" applyAlignment="1" applyProtection="1">
      <alignment horizontal="left" vertical="center"/>
      <protection locked="0"/>
    </xf>
    <xf numFmtId="0" fontId="0" fillId="3" borderId="0" xfId="0" applyFill="1" applyAlignment="1">
      <alignment vertical="center"/>
    </xf>
    <xf numFmtId="0" fontId="0" fillId="3" borderId="0" xfId="0" applyFill="1"/>
    <xf numFmtId="0" fontId="2" fillId="4" borderId="6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J43"/>
  <sheetViews>
    <sheetView tabSelected="1" workbookViewId="0">
      <selection activeCell="N35" sqref="N35"/>
    </sheetView>
  </sheetViews>
  <sheetFormatPr defaultRowHeight="15" x14ac:dyDescent="0.25"/>
  <cols>
    <col min="2" max="2" width="3" style="7" bestFit="1" customWidth="1"/>
    <col min="3" max="3" width="16.140625" style="7" bestFit="1" customWidth="1"/>
    <col min="4" max="4" width="26" bestFit="1" customWidth="1"/>
    <col min="5" max="5" width="30.7109375" bestFit="1" customWidth="1"/>
    <col min="6" max="6" width="21.42578125" bestFit="1" customWidth="1"/>
    <col min="7" max="7" width="25.28515625" bestFit="1" customWidth="1"/>
    <col min="8" max="8" width="16.42578125" bestFit="1" customWidth="1"/>
    <col min="9" max="9" width="6.140625" bestFit="1" customWidth="1"/>
    <col min="10" max="10" width="8.7109375" bestFit="1" customWidth="1"/>
  </cols>
  <sheetData>
    <row r="1" spans="1:10" ht="15.75" thickBot="1" x14ac:dyDescent="0.3">
      <c r="A1" s="1"/>
      <c r="B1" s="5"/>
      <c r="C1" s="5"/>
      <c r="D1" s="2"/>
      <c r="E1" s="2"/>
      <c r="F1" s="2"/>
      <c r="G1" s="2"/>
      <c r="H1" s="2"/>
      <c r="I1" s="22"/>
      <c r="J1" s="22"/>
    </row>
    <row r="2" spans="1:10" ht="15.75" thickBot="1" x14ac:dyDescent="0.3">
      <c r="A2" s="1"/>
      <c r="B2" s="8" t="s">
        <v>0</v>
      </c>
      <c r="C2" s="8" t="s">
        <v>1</v>
      </c>
      <c r="D2" s="8" t="s">
        <v>15</v>
      </c>
      <c r="E2" s="8" t="s">
        <v>55</v>
      </c>
      <c r="F2" s="8" t="s">
        <v>95</v>
      </c>
      <c r="G2" s="8" t="s">
        <v>118</v>
      </c>
      <c r="H2" s="8" t="s">
        <v>148</v>
      </c>
      <c r="I2" s="8" t="s">
        <v>190</v>
      </c>
      <c r="J2" s="8" t="s">
        <v>189</v>
      </c>
    </row>
    <row r="3" spans="1:10" ht="24" x14ac:dyDescent="0.25">
      <c r="A3" s="1"/>
      <c r="B3" s="17">
        <f>ROW(B3) - ROW($B$2)</f>
        <v>1</v>
      </c>
      <c r="C3" s="21" t="s">
        <v>2</v>
      </c>
      <c r="D3" s="10" t="s">
        <v>16</v>
      </c>
      <c r="E3" s="10" t="s">
        <v>56</v>
      </c>
      <c r="F3" s="10" t="s">
        <v>96</v>
      </c>
      <c r="G3" s="10" t="s">
        <v>119</v>
      </c>
      <c r="H3" s="10" t="s">
        <v>149</v>
      </c>
      <c r="I3" s="10" t="s">
        <v>169</v>
      </c>
      <c r="J3" s="10">
        <v>15</v>
      </c>
    </row>
    <row r="4" spans="1:10" x14ac:dyDescent="0.25">
      <c r="A4" s="1"/>
      <c r="B4" s="18">
        <f t="shared" ref="B4:B40" si="0">ROW(B4) - ROW($B$2)</f>
        <v>2</v>
      </c>
      <c r="C4" s="21" t="s">
        <v>2</v>
      </c>
      <c r="D4" s="19" t="s">
        <v>17</v>
      </c>
      <c r="E4" s="19" t="s">
        <v>57</v>
      </c>
      <c r="F4" s="19" t="s">
        <v>96</v>
      </c>
      <c r="G4" s="19" t="s">
        <v>120</v>
      </c>
      <c r="H4" s="19" t="s">
        <v>149</v>
      </c>
      <c r="I4" s="19" t="s">
        <v>170</v>
      </c>
      <c r="J4" s="19">
        <v>1</v>
      </c>
    </row>
    <row r="5" spans="1:10" x14ac:dyDescent="0.25">
      <c r="A5" s="1"/>
      <c r="B5" s="17">
        <f>ROW(B5) - ROW($B$2)</f>
        <v>3</v>
      </c>
      <c r="C5" s="21" t="s">
        <v>2</v>
      </c>
      <c r="D5" s="10" t="s">
        <v>18</v>
      </c>
      <c r="E5" s="10" t="s">
        <v>58</v>
      </c>
      <c r="F5" s="10" t="s">
        <v>96</v>
      </c>
      <c r="G5" s="10" t="s">
        <v>121</v>
      </c>
      <c r="H5" s="10" t="s">
        <v>150</v>
      </c>
      <c r="I5" s="10" t="s">
        <v>171</v>
      </c>
      <c r="J5" s="10">
        <v>4</v>
      </c>
    </row>
    <row r="6" spans="1:10" x14ac:dyDescent="0.25">
      <c r="A6" s="1"/>
      <c r="B6" s="18">
        <f t="shared" si="0"/>
        <v>4</v>
      </c>
      <c r="C6" s="21" t="s">
        <v>2</v>
      </c>
      <c r="D6" s="19" t="s">
        <v>19</v>
      </c>
      <c r="E6" s="19" t="s">
        <v>59</v>
      </c>
      <c r="F6" s="19" t="s">
        <v>96</v>
      </c>
      <c r="G6" s="19" t="s">
        <v>122</v>
      </c>
      <c r="H6" s="19" t="s">
        <v>151</v>
      </c>
      <c r="I6" s="19" t="s">
        <v>172</v>
      </c>
      <c r="J6" s="19">
        <v>6</v>
      </c>
    </row>
    <row r="7" spans="1:10" x14ac:dyDescent="0.25">
      <c r="A7" s="1"/>
      <c r="B7" s="17">
        <f>ROW(B7) - ROW($B$2)</f>
        <v>5</v>
      </c>
      <c r="C7" s="21" t="s">
        <v>2</v>
      </c>
      <c r="D7" s="10" t="s">
        <v>20</v>
      </c>
      <c r="E7" s="10" t="s">
        <v>60</v>
      </c>
      <c r="F7" s="10" t="s">
        <v>97</v>
      </c>
      <c r="G7" s="10" t="s">
        <v>123</v>
      </c>
      <c r="H7" s="10" t="s">
        <v>151</v>
      </c>
      <c r="I7" s="10" t="s">
        <v>173</v>
      </c>
      <c r="J7" s="10">
        <v>5</v>
      </c>
    </row>
    <row r="8" spans="1:10" x14ac:dyDescent="0.25">
      <c r="A8" s="1"/>
      <c r="B8" s="18">
        <f t="shared" si="0"/>
        <v>6</v>
      </c>
      <c r="C8" s="21" t="s">
        <v>2</v>
      </c>
      <c r="D8" s="19" t="s">
        <v>21</v>
      </c>
      <c r="E8" s="19" t="s">
        <v>61</v>
      </c>
      <c r="F8" s="19" t="s">
        <v>96</v>
      </c>
      <c r="G8" s="19" t="s">
        <v>124</v>
      </c>
      <c r="H8" s="19" t="s">
        <v>151</v>
      </c>
      <c r="I8" s="19" t="s">
        <v>174</v>
      </c>
      <c r="J8" s="19">
        <v>4</v>
      </c>
    </row>
    <row r="9" spans="1:10" x14ac:dyDescent="0.25">
      <c r="A9" s="1"/>
      <c r="B9" s="17">
        <f>ROW(B9) - ROW($B$2)</f>
        <v>7</v>
      </c>
      <c r="C9" s="21" t="s">
        <v>2</v>
      </c>
      <c r="D9" s="10" t="s">
        <v>22</v>
      </c>
      <c r="E9" s="10" t="s">
        <v>62</v>
      </c>
      <c r="F9" s="10" t="s">
        <v>96</v>
      </c>
      <c r="G9" s="10" t="s">
        <v>125</v>
      </c>
      <c r="H9" s="10" t="s">
        <v>151</v>
      </c>
      <c r="I9" s="10" t="s">
        <v>175</v>
      </c>
      <c r="J9" s="10">
        <v>2</v>
      </c>
    </row>
    <row r="10" spans="1:10" ht="36" x14ac:dyDescent="0.25">
      <c r="A10" s="1"/>
      <c r="B10" s="18">
        <f t="shared" si="0"/>
        <v>8</v>
      </c>
      <c r="C10" s="21" t="s">
        <v>3</v>
      </c>
      <c r="D10" s="19" t="s">
        <v>23</v>
      </c>
      <c r="E10" s="19" t="s">
        <v>63</v>
      </c>
      <c r="F10" s="19" t="s">
        <v>98</v>
      </c>
      <c r="G10" s="19" t="s">
        <v>126</v>
      </c>
      <c r="H10" s="19" t="s">
        <v>152</v>
      </c>
      <c r="I10" s="19" t="s">
        <v>68</v>
      </c>
      <c r="J10" s="19">
        <v>5</v>
      </c>
    </row>
    <row r="11" spans="1:10" x14ac:dyDescent="0.25">
      <c r="A11" s="1"/>
      <c r="B11" s="17">
        <f>ROW(B11) - ROW($B$2)</f>
        <v>9</v>
      </c>
      <c r="C11" s="20" t="s">
        <v>3</v>
      </c>
      <c r="D11" s="10" t="s">
        <v>24</v>
      </c>
      <c r="E11" s="10" t="s">
        <v>64</v>
      </c>
      <c r="F11" s="10" t="s">
        <v>99</v>
      </c>
      <c r="G11" s="10" t="s">
        <v>127</v>
      </c>
      <c r="H11" s="10" t="s">
        <v>153</v>
      </c>
      <c r="I11" s="10" t="s">
        <v>68</v>
      </c>
      <c r="J11" s="10">
        <v>2</v>
      </c>
    </row>
    <row r="12" spans="1:10" x14ac:dyDescent="0.25">
      <c r="A12" s="1"/>
      <c r="B12" s="18">
        <f t="shared" si="0"/>
        <v>10</v>
      </c>
      <c r="C12" s="21" t="s">
        <v>4</v>
      </c>
      <c r="D12" s="19" t="s">
        <v>25</v>
      </c>
      <c r="E12" s="19" t="s">
        <v>65</v>
      </c>
      <c r="F12" s="19" t="s">
        <v>193</v>
      </c>
      <c r="G12" s="19" t="s">
        <v>100</v>
      </c>
      <c r="H12" s="19" t="s">
        <v>154</v>
      </c>
      <c r="I12" s="19" t="s">
        <v>68</v>
      </c>
      <c r="J12" s="19">
        <v>1</v>
      </c>
    </row>
    <row r="13" spans="1:10" x14ac:dyDescent="0.25">
      <c r="A13" s="1"/>
      <c r="B13" s="17">
        <f>ROW(B13) - ROW($B$2)</f>
        <v>11</v>
      </c>
      <c r="C13" s="20" t="s">
        <v>5</v>
      </c>
      <c r="D13" s="10" t="s">
        <v>26</v>
      </c>
      <c r="E13" s="10" t="s">
        <v>66</v>
      </c>
      <c r="F13" s="19" t="s">
        <v>193</v>
      </c>
      <c r="G13" s="10" t="s">
        <v>101</v>
      </c>
      <c r="H13" s="10" t="s">
        <v>155</v>
      </c>
      <c r="I13" s="10" t="s">
        <v>68</v>
      </c>
      <c r="J13" s="10">
        <v>1</v>
      </c>
    </row>
    <row r="14" spans="1:10" x14ac:dyDescent="0.25">
      <c r="A14" s="1"/>
      <c r="B14" s="18">
        <f t="shared" si="0"/>
        <v>12</v>
      </c>
      <c r="C14" s="21" t="s">
        <v>5</v>
      </c>
      <c r="D14" s="19" t="s">
        <v>27</v>
      </c>
      <c r="E14" s="19" t="s">
        <v>67</v>
      </c>
      <c r="F14" s="19" t="s">
        <v>193</v>
      </c>
      <c r="G14" s="19" t="s">
        <v>102</v>
      </c>
      <c r="H14" s="19" t="s">
        <v>155</v>
      </c>
      <c r="I14" s="19" t="s">
        <v>68</v>
      </c>
      <c r="J14" s="19">
        <v>1</v>
      </c>
    </row>
    <row r="15" spans="1:10" x14ac:dyDescent="0.25">
      <c r="A15" s="1"/>
      <c r="B15" s="17">
        <f>ROW(B15) - ROW($B$2)</f>
        <v>13</v>
      </c>
      <c r="C15" s="20" t="s">
        <v>6</v>
      </c>
      <c r="D15" s="10" t="s">
        <v>28</v>
      </c>
      <c r="E15" s="10" t="s">
        <v>68</v>
      </c>
      <c r="F15" s="19" t="s">
        <v>193</v>
      </c>
      <c r="G15" s="10" t="s">
        <v>128</v>
      </c>
      <c r="H15" s="10"/>
      <c r="I15" s="10" t="s">
        <v>68</v>
      </c>
      <c r="J15" s="10">
        <v>4</v>
      </c>
    </row>
    <row r="16" spans="1:10" ht="24" x14ac:dyDescent="0.25">
      <c r="A16" s="1"/>
      <c r="B16" s="18">
        <f t="shared" si="0"/>
        <v>14</v>
      </c>
      <c r="C16" s="21" t="s">
        <v>191</v>
      </c>
      <c r="D16" s="19" t="s">
        <v>29</v>
      </c>
      <c r="E16" s="19" t="s">
        <v>69</v>
      </c>
      <c r="F16" s="19" t="s">
        <v>194</v>
      </c>
      <c r="G16" s="19" t="s">
        <v>103</v>
      </c>
      <c r="H16" s="19" t="s">
        <v>156</v>
      </c>
      <c r="I16" s="19" t="s">
        <v>176</v>
      </c>
      <c r="J16" s="19">
        <v>1</v>
      </c>
    </row>
    <row r="17" spans="1:10" x14ac:dyDescent="0.25">
      <c r="A17" s="1"/>
      <c r="B17" s="17">
        <f>ROW(B17) - ROW($B$2)</f>
        <v>15</v>
      </c>
      <c r="C17" s="21" t="s">
        <v>191</v>
      </c>
      <c r="D17" s="10" t="s">
        <v>30</v>
      </c>
      <c r="E17" s="10" t="s">
        <v>70</v>
      </c>
      <c r="F17" s="10" t="s">
        <v>195</v>
      </c>
      <c r="G17" s="10" t="s">
        <v>104</v>
      </c>
      <c r="H17" s="10" t="s">
        <v>157</v>
      </c>
      <c r="I17" s="10" t="s">
        <v>177</v>
      </c>
      <c r="J17" s="10">
        <v>1</v>
      </c>
    </row>
    <row r="18" spans="1:10" ht="24" x14ac:dyDescent="0.25">
      <c r="A18" s="1"/>
      <c r="B18" s="18">
        <f t="shared" si="0"/>
        <v>16</v>
      </c>
      <c r="C18" s="21" t="s">
        <v>7</v>
      </c>
      <c r="D18" s="19" t="s">
        <v>31</v>
      </c>
      <c r="E18" s="19" t="s">
        <v>71</v>
      </c>
      <c r="F18" s="19" t="s">
        <v>105</v>
      </c>
      <c r="G18" s="19" t="s">
        <v>129</v>
      </c>
      <c r="H18" s="19" t="s">
        <v>158</v>
      </c>
      <c r="I18" s="19" t="s">
        <v>68</v>
      </c>
      <c r="J18" s="19">
        <v>3</v>
      </c>
    </row>
    <row r="19" spans="1:10" ht="24" x14ac:dyDescent="0.25">
      <c r="A19" s="1"/>
      <c r="B19" s="17">
        <f>ROW(B19) - ROW($B$2)</f>
        <v>17</v>
      </c>
      <c r="C19" s="20" t="s">
        <v>7</v>
      </c>
      <c r="D19" s="10" t="s">
        <v>32</v>
      </c>
      <c r="E19" s="10" t="s">
        <v>72</v>
      </c>
      <c r="F19" s="10" t="s">
        <v>105</v>
      </c>
      <c r="G19" s="10" t="s">
        <v>130</v>
      </c>
      <c r="H19" s="10" t="s">
        <v>158</v>
      </c>
      <c r="I19" s="10" t="s">
        <v>68</v>
      </c>
      <c r="J19" s="10">
        <v>1</v>
      </c>
    </row>
    <row r="20" spans="1:10" ht="60" x14ac:dyDescent="0.25">
      <c r="A20" s="1"/>
      <c r="B20" s="18">
        <f t="shared" si="0"/>
        <v>18</v>
      </c>
      <c r="C20" s="21" t="s">
        <v>8</v>
      </c>
      <c r="D20" s="19" t="s">
        <v>33</v>
      </c>
      <c r="E20" s="19" t="s">
        <v>73</v>
      </c>
      <c r="F20" s="19" t="s">
        <v>193</v>
      </c>
      <c r="G20" s="19" t="s">
        <v>8</v>
      </c>
      <c r="H20" s="19" t="s">
        <v>68</v>
      </c>
      <c r="I20" s="19" t="s">
        <v>68</v>
      </c>
      <c r="J20" s="19">
        <v>35</v>
      </c>
    </row>
    <row r="21" spans="1:10" ht="36" x14ac:dyDescent="0.25">
      <c r="A21" s="1"/>
      <c r="B21" s="17">
        <f>ROW(B21) - ROW($B$2)</f>
        <v>19</v>
      </c>
      <c r="C21" s="20" t="s">
        <v>192</v>
      </c>
      <c r="D21" s="10" t="s">
        <v>34</v>
      </c>
      <c r="E21" s="10" t="s">
        <v>74</v>
      </c>
      <c r="F21" s="10" t="s">
        <v>9</v>
      </c>
      <c r="G21" s="10" t="s">
        <v>131</v>
      </c>
      <c r="H21" s="10" t="s">
        <v>159</v>
      </c>
      <c r="I21" s="10" t="s">
        <v>68</v>
      </c>
      <c r="J21" s="10">
        <v>2</v>
      </c>
    </row>
    <row r="22" spans="1:10" x14ac:dyDescent="0.25">
      <c r="A22" s="1"/>
      <c r="B22" s="18">
        <f t="shared" si="0"/>
        <v>20</v>
      </c>
      <c r="C22" s="20" t="s">
        <v>192</v>
      </c>
      <c r="D22" s="19" t="s">
        <v>35</v>
      </c>
      <c r="E22" s="19" t="s">
        <v>75</v>
      </c>
      <c r="F22" s="19" t="s">
        <v>106</v>
      </c>
      <c r="G22" s="19" t="s">
        <v>132</v>
      </c>
      <c r="H22" s="19" t="s">
        <v>160</v>
      </c>
      <c r="I22" s="19" t="s">
        <v>68</v>
      </c>
      <c r="J22" s="19">
        <v>2</v>
      </c>
    </row>
    <row r="23" spans="1:10" x14ac:dyDescent="0.25">
      <c r="A23" s="1"/>
      <c r="B23" s="17">
        <f>ROW(B23) - ROW($B$2)</f>
        <v>21</v>
      </c>
      <c r="C23" s="21" t="s">
        <v>10</v>
      </c>
      <c r="D23" s="10" t="s">
        <v>36</v>
      </c>
      <c r="E23" s="10" t="s">
        <v>76</v>
      </c>
      <c r="F23" s="10" t="s">
        <v>107</v>
      </c>
      <c r="G23" s="10" t="s">
        <v>133</v>
      </c>
      <c r="H23" s="10" t="s">
        <v>151</v>
      </c>
      <c r="I23" s="10" t="s">
        <v>178</v>
      </c>
      <c r="J23" s="10">
        <v>5</v>
      </c>
    </row>
    <row r="24" spans="1:10" x14ac:dyDescent="0.25">
      <c r="A24" s="1"/>
      <c r="B24" s="18">
        <f t="shared" si="0"/>
        <v>22</v>
      </c>
      <c r="C24" s="21" t="s">
        <v>10</v>
      </c>
      <c r="D24" s="19" t="s">
        <v>37</v>
      </c>
      <c r="E24" s="19" t="s">
        <v>77</v>
      </c>
      <c r="F24" s="19" t="s">
        <v>107</v>
      </c>
      <c r="G24" s="19" t="s">
        <v>134</v>
      </c>
      <c r="H24" s="19" t="s">
        <v>151</v>
      </c>
      <c r="I24" s="19" t="s">
        <v>179</v>
      </c>
      <c r="J24" s="19">
        <v>7</v>
      </c>
    </row>
    <row r="25" spans="1:10" x14ac:dyDescent="0.25">
      <c r="A25" s="1"/>
      <c r="B25" s="17">
        <f>ROW(B25) - ROW($B$2)</f>
        <v>23</v>
      </c>
      <c r="C25" s="21" t="s">
        <v>10</v>
      </c>
      <c r="D25" s="10" t="s">
        <v>38</v>
      </c>
      <c r="E25" s="10" t="s">
        <v>78</v>
      </c>
      <c r="F25" s="10" t="s">
        <v>107</v>
      </c>
      <c r="G25" s="10" t="s">
        <v>135</v>
      </c>
      <c r="H25" s="10" t="s">
        <v>151</v>
      </c>
      <c r="I25" s="10" t="s">
        <v>180</v>
      </c>
      <c r="J25" s="10">
        <v>1</v>
      </c>
    </row>
    <row r="26" spans="1:10" x14ac:dyDescent="0.25">
      <c r="A26" s="1"/>
      <c r="B26" s="18">
        <f t="shared" si="0"/>
        <v>24</v>
      </c>
      <c r="C26" s="21" t="s">
        <v>10</v>
      </c>
      <c r="D26" s="19" t="s">
        <v>39</v>
      </c>
      <c r="E26" s="19" t="s">
        <v>79</v>
      </c>
      <c r="F26" s="19" t="s">
        <v>107</v>
      </c>
      <c r="G26" s="19" t="s">
        <v>136</v>
      </c>
      <c r="H26" s="19" t="s">
        <v>151</v>
      </c>
      <c r="I26" s="19" t="s">
        <v>181</v>
      </c>
      <c r="J26" s="19">
        <v>3</v>
      </c>
    </row>
    <row r="27" spans="1:10" x14ac:dyDescent="0.25">
      <c r="A27" s="1"/>
      <c r="B27" s="17">
        <f>ROW(B27) - ROW($B$2)</f>
        <v>25</v>
      </c>
      <c r="C27" s="21" t="s">
        <v>10</v>
      </c>
      <c r="D27" s="10" t="s">
        <v>40</v>
      </c>
      <c r="E27" s="10" t="s">
        <v>80</v>
      </c>
      <c r="F27" s="10" t="s">
        <v>108</v>
      </c>
      <c r="G27" s="10" t="s">
        <v>137</v>
      </c>
      <c r="H27" s="10" t="s">
        <v>151</v>
      </c>
      <c r="I27" s="10" t="s">
        <v>181</v>
      </c>
      <c r="J27" s="10">
        <v>1</v>
      </c>
    </row>
    <row r="28" spans="1:10" x14ac:dyDescent="0.25">
      <c r="A28" s="1"/>
      <c r="B28" s="18">
        <f t="shared" si="0"/>
        <v>26</v>
      </c>
      <c r="C28" s="21" t="s">
        <v>10</v>
      </c>
      <c r="D28" s="19" t="s">
        <v>41</v>
      </c>
      <c r="E28" s="19" t="s">
        <v>81</v>
      </c>
      <c r="F28" s="19" t="s">
        <v>107</v>
      </c>
      <c r="G28" s="19" t="s">
        <v>138</v>
      </c>
      <c r="H28" s="19" t="s">
        <v>151</v>
      </c>
      <c r="I28" s="19" t="s">
        <v>182</v>
      </c>
      <c r="J28" s="19">
        <v>2</v>
      </c>
    </row>
    <row r="29" spans="1:10" x14ac:dyDescent="0.25">
      <c r="A29" s="1"/>
      <c r="B29" s="17">
        <f>ROW(B29) - ROW($B$2)</f>
        <v>27</v>
      </c>
      <c r="C29" s="21" t="s">
        <v>10</v>
      </c>
      <c r="D29" s="10" t="s">
        <v>42</v>
      </c>
      <c r="E29" s="10" t="s">
        <v>82</v>
      </c>
      <c r="F29" s="10" t="s">
        <v>107</v>
      </c>
      <c r="G29" s="10" t="s">
        <v>139</v>
      </c>
      <c r="H29" s="10" t="s">
        <v>151</v>
      </c>
      <c r="I29" s="10" t="s">
        <v>183</v>
      </c>
      <c r="J29" s="10">
        <v>2</v>
      </c>
    </row>
    <row r="30" spans="1:10" x14ac:dyDescent="0.25">
      <c r="A30" s="1"/>
      <c r="B30" s="18">
        <f t="shared" si="0"/>
        <v>28</v>
      </c>
      <c r="C30" s="21" t="s">
        <v>10</v>
      </c>
      <c r="D30" s="19" t="s">
        <v>43</v>
      </c>
      <c r="E30" s="19" t="s">
        <v>83</v>
      </c>
      <c r="F30" s="19" t="s">
        <v>107</v>
      </c>
      <c r="G30" s="19" t="s">
        <v>140</v>
      </c>
      <c r="H30" s="19" t="s">
        <v>151</v>
      </c>
      <c r="I30" s="19" t="s">
        <v>184</v>
      </c>
      <c r="J30" s="19">
        <v>3</v>
      </c>
    </row>
    <row r="31" spans="1:10" ht="24" x14ac:dyDescent="0.25">
      <c r="A31" s="1"/>
      <c r="B31" s="17">
        <f>ROW(B31) - ROW($B$2)</f>
        <v>29</v>
      </c>
      <c r="C31" s="21" t="s">
        <v>10</v>
      </c>
      <c r="D31" s="10" t="s">
        <v>44</v>
      </c>
      <c r="E31" s="10" t="s">
        <v>84</v>
      </c>
      <c r="F31" s="10" t="s">
        <v>107</v>
      </c>
      <c r="G31" s="10" t="s">
        <v>141</v>
      </c>
      <c r="H31" s="10" t="s">
        <v>161</v>
      </c>
      <c r="I31" s="10" t="s">
        <v>185</v>
      </c>
      <c r="J31" s="10">
        <v>1</v>
      </c>
    </row>
    <row r="32" spans="1:10" x14ac:dyDescent="0.25">
      <c r="A32" s="1"/>
      <c r="B32" s="18">
        <f t="shared" si="0"/>
        <v>30</v>
      </c>
      <c r="C32" s="21" t="s">
        <v>10</v>
      </c>
      <c r="D32" s="19" t="s">
        <v>45</v>
      </c>
      <c r="E32" s="19" t="s">
        <v>85</v>
      </c>
      <c r="F32" s="19" t="s">
        <v>107</v>
      </c>
      <c r="G32" s="19" t="s">
        <v>142</v>
      </c>
      <c r="H32" s="19" t="s">
        <v>151</v>
      </c>
      <c r="I32" s="19" t="s">
        <v>186</v>
      </c>
      <c r="J32" s="19">
        <v>3</v>
      </c>
    </row>
    <row r="33" spans="1:10" x14ac:dyDescent="0.25">
      <c r="A33" s="1"/>
      <c r="B33" s="17">
        <f>ROW(B33) - ROW($B$2)</f>
        <v>31</v>
      </c>
      <c r="C33" s="20" t="s">
        <v>11</v>
      </c>
      <c r="D33" s="10" t="s">
        <v>46</v>
      </c>
      <c r="E33" s="10" t="s">
        <v>86</v>
      </c>
      <c r="F33" s="10" t="s">
        <v>109</v>
      </c>
      <c r="G33" s="10" t="s">
        <v>109</v>
      </c>
      <c r="H33" s="10" t="s">
        <v>162</v>
      </c>
      <c r="I33" s="10" t="s">
        <v>68</v>
      </c>
      <c r="J33" s="10">
        <v>2</v>
      </c>
    </row>
    <row r="34" spans="1:10" x14ac:dyDescent="0.25">
      <c r="A34" s="1"/>
      <c r="B34" s="18">
        <f t="shared" si="0"/>
        <v>32</v>
      </c>
      <c r="C34" s="21" t="s">
        <v>12</v>
      </c>
      <c r="D34" s="19" t="s">
        <v>47</v>
      </c>
      <c r="E34" s="19" t="s">
        <v>87</v>
      </c>
      <c r="F34" s="19" t="s">
        <v>110</v>
      </c>
      <c r="G34" s="19" t="s">
        <v>143</v>
      </c>
      <c r="H34" s="19" t="s">
        <v>163</v>
      </c>
      <c r="I34" s="19" t="s">
        <v>68</v>
      </c>
      <c r="J34" s="19">
        <v>1</v>
      </c>
    </row>
    <row r="35" spans="1:10" ht="24" x14ac:dyDescent="0.25">
      <c r="A35" s="1"/>
      <c r="B35" s="17">
        <f>ROW(B35) - ROW($B$2)</f>
        <v>33</v>
      </c>
      <c r="C35" s="20" t="s">
        <v>12</v>
      </c>
      <c r="D35" s="10" t="s">
        <v>48</v>
      </c>
      <c r="E35" s="10" t="s">
        <v>88</v>
      </c>
      <c r="F35" s="10" t="s">
        <v>111</v>
      </c>
      <c r="G35" s="10" t="s">
        <v>144</v>
      </c>
      <c r="H35" s="10" t="s">
        <v>164</v>
      </c>
      <c r="I35" s="10" t="s">
        <v>68</v>
      </c>
      <c r="J35" s="10">
        <v>1</v>
      </c>
    </row>
    <row r="36" spans="1:10" ht="24" x14ac:dyDescent="0.25">
      <c r="A36" s="1"/>
      <c r="B36" s="18">
        <f t="shared" si="0"/>
        <v>34</v>
      </c>
      <c r="C36" s="20" t="s">
        <v>12</v>
      </c>
      <c r="D36" s="19" t="s">
        <v>49</v>
      </c>
      <c r="E36" s="19" t="s">
        <v>89</v>
      </c>
      <c r="F36" s="19" t="s">
        <v>112</v>
      </c>
      <c r="G36" s="19" t="s">
        <v>145</v>
      </c>
      <c r="H36" s="19" t="s">
        <v>165</v>
      </c>
      <c r="I36" s="19" t="s">
        <v>68</v>
      </c>
      <c r="J36" s="19">
        <v>1</v>
      </c>
    </row>
    <row r="37" spans="1:10" x14ac:dyDescent="0.25">
      <c r="A37" s="1"/>
      <c r="B37" s="17">
        <f>ROW(B37) - ROW($B$2)</f>
        <v>35</v>
      </c>
      <c r="C37" s="20" t="s">
        <v>12</v>
      </c>
      <c r="D37" s="10" t="s">
        <v>50</v>
      </c>
      <c r="E37" s="10" t="s">
        <v>90</v>
      </c>
      <c r="F37" s="10" t="s">
        <v>113</v>
      </c>
      <c r="G37" s="10" t="s">
        <v>146</v>
      </c>
      <c r="H37" s="10" t="s">
        <v>166</v>
      </c>
      <c r="I37" s="10" t="s">
        <v>68</v>
      </c>
      <c r="J37" s="10">
        <v>1</v>
      </c>
    </row>
    <row r="38" spans="1:10" ht="24" x14ac:dyDescent="0.25">
      <c r="A38" s="1"/>
      <c r="B38" s="18">
        <f t="shared" si="0"/>
        <v>36</v>
      </c>
      <c r="C38" s="21" t="s">
        <v>12</v>
      </c>
      <c r="D38" s="19" t="s">
        <v>51</v>
      </c>
      <c r="E38" s="19" t="s">
        <v>91</v>
      </c>
      <c r="F38" s="19" t="s">
        <v>114</v>
      </c>
      <c r="G38" s="19" t="s">
        <v>147</v>
      </c>
      <c r="H38" s="19" t="s">
        <v>167</v>
      </c>
      <c r="I38" s="19" t="s">
        <v>68</v>
      </c>
      <c r="J38" s="19">
        <v>1</v>
      </c>
    </row>
    <row r="39" spans="1:10" ht="24" x14ac:dyDescent="0.25">
      <c r="A39" s="1"/>
      <c r="B39" s="17">
        <f>ROW(B39) - ROW($B$2)</f>
        <v>37</v>
      </c>
      <c r="C39" s="20" t="s">
        <v>13</v>
      </c>
      <c r="D39" s="10" t="s">
        <v>52</v>
      </c>
      <c r="E39" s="10" t="s">
        <v>92</v>
      </c>
      <c r="F39" s="10" t="s">
        <v>115</v>
      </c>
      <c r="G39" s="10" t="s">
        <v>115</v>
      </c>
      <c r="H39" s="10"/>
      <c r="I39" s="10" t="s">
        <v>68</v>
      </c>
      <c r="J39" s="10">
        <v>1</v>
      </c>
    </row>
    <row r="40" spans="1:10" ht="36" x14ac:dyDescent="0.25">
      <c r="A40" s="1"/>
      <c r="B40" s="18">
        <f t="shared" si="0"/>
        <v>38</v>
      </c>
      <c r="C40" s="21" t="s">
        <v>14</v>
      </c>
      <c r="D40" s="19" t="s">
        <v>53</v>
      </c>
      <c r="E40" s="19" t="s">
        <v>93</v>
      </c>
      <c r="F40" s="19" t="s">
        <v>193</v>
      </c>
      <c r="G40" s="19" t="s">
        <v>116</v>
      </c>
      <c r="H40" s="19" t="s">
        <v>168</v>
      </c>
      <c r="I40" s="19" t="s">
        <v>187</v>
      </c>
      <c r="J40" s="19">
        <v>1</v>
      </c>
    </row>
    <row r="41" spans="1:10" x14ac:dyDescent="0.25">
      <c r="A41" s="1"/>
      <c r="B41" s="17">
        <f>ROW(B41) - ROW($B$2)</f>
        <v>39</v>
      </c>
      <c r="C41" s="20" t="s">
        <v>14</v>
      </c>
      <c r="D41" s="10" t="s">
        <v>54</v>
      </c>
      <c r="E41" s="10" t="s">
        <v>94</v>
      </c>
      <c r="F41" s="10" t="s">
        <v>193</v>
      </c>
      <c r="G41" s="10" t="s">
        <v>117</v>
      </c>
      <c r="H41" s="10" t="s">
        <v>168</v>
      </c>
      <c r="I41" s="10" t="s">
        <v>188</v>
      </c>
      <c r="J41" s="10">
        <v>1</v>
      </c>
    </row>
    <row r="42" spans="1:10" x14ac:dyDescent="0.25">
      <c r="A42" s="1"/>
      <c r="B42" s="11"/>
      <c r="C42" s="12"/>
      <c r="D42" s="13"/>
      <c r="E42" s="14"/>
      <c r="F42" s="15"/>
      <c r="G42" s="16"/>
      <c r="H42" s="15"/>
      <c r="I42" s="16"/>
      <c r="J42" s="16"/>
    </row>
    <row r="43" spans="1:10" ht="15.75" thickBot="1" x14ac:dyDescent="0.3">
      <c r="A43" s="1"/>
      <c r="B43" s="6"/>
      <c r="C43" s="9"/>
      <c r="D43" s="3"/>
      <c r="E43" s="4"/>
      <c r="F43" s="4"/>
      <c r="G43" s="4"/>
      <c r="H43" s="4"/>
      <c r="I43" s="4"/>
      <c r="J43" s="4"/>
    </row>
  </sheetData>
  <mergeCells count="1"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2024-01-08T11:28:22Z</dcterms:modified>
</cp:coreProperties>
</file>